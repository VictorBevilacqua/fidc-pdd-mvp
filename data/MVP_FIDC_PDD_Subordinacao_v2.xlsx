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REGUA_PDD" sheetId="3" state="visible" r:id="rId3"/>
    <sheet xmlns:r="http://schemas.openxmlformats.org/officeDocument/2006/relationships" name="INPUT_CARTEIRA" sheetId="4" state="visible" r:id="rId4"/>
    <sheet xmlns:r="http://schemas.openxmlformats.org/officeDocument/2006/relationships" name="EFEITO_VAGAO" sheetId="5" state="visible" r:id="rId5"/>
    <sheet xmlns:r="http://schemas.openxmlformats.org/officeDocument/2006/relationships" name="CALC_PDD" sheetId="6" state="visible" r:id="rId6"/>
    <sheet xmlns:r="http://schemas.openxmlformats.org/officeDocument/2006/relationships" name="KPIs" sheetId="7" state="visible" r:id="rId7"/>
    <sheet xmlns:r="http://schemas.openxmlformats.org/officeDocument/2006/relationships" name="SUBORDINACAO" sheetId="8" state="visible" r:id="rId8"/>
    <sheet xmlns:r="http://schemas.openxmlformats.org/officeDocument/2006/relationships" name="FONTES" sheetId="9" state="visible" r:id="rId9"/>
  </sheets>
  <definedNames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0.0%"/>
    <numFmt numFmtId="166" formatCode="dd/mm/yyyy"/>
    <numFmt numFmtId="167" formatCode="BOOLEAN"/>
  </numFmts>
  <fonts count="9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sz val="12"/>
    </font>
    <font>
      <b val="1"/>
      <color rgb="001F4E79"/>
      <sz val="14"/>
    </font>
    <font>
      <color rgb="000000FF"/>
    </font>
    <font>
      <i val="1"/>
      <color rgb="00666666"/>
    </font>
    <font>
      <b val="1"/>
      <color rgb="00FFFFFF"/>
    </font>
    <font>
      <b val="1"/>
    </font>
    <font>
      <color rgb="001F4E7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B0BEC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49" fontId="0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right" vertical="center" wrapText="1"/>
    </xf>
    <xf numFmtId="165" fontId="0" fillId="0" borderId="0" applyAlignment="1" pivotButton="0" quotePrefix="0" xfId="0">
      <alignment horizontal="right" vertical="center" wrapText="1"/>
    </xf>
    <xf numFmtId="0" fontId="7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6" fillId="3" borderId="0" applyAlignment="1" pivotButton="0" quotePrefix="0" xfId="0">
      <alignment horizontal="right" vertical="center" wrapText="1"/>
    </xf>
    <xf numFmtId="0" fontId="8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6" fillId="4" borderId="0" applyAlignment="1" pivotButton="0" quotePrefix="0" xfId="0">
      <alignment horizontal="center" vertical="center"/>
    </xf>
  </cellXfs>
  <cellStyles count="1">
    <cellStyle name="Normal" xfId="0"/>
  </cellStyles>
  <dxfs count="2">
    <dxf>
      <fill>
        <patternFill>
          <bgColor rgb="002E7D32"/>
        </patternFill>
      </fill>
    </dxf>
    <dxf>
      <fill>
        <patternFill>
          <bgColor rgb="00C62828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Aging — Saldo e PDD (R$)</a:t>
            </a:r>
          </a:p>
        </rich>
      </tx>
      <overlay val="0"/>
      <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</a:p>
      </txPr>
    </title>
    <plotArea>
      <layout/>
      <barChart>
        <barDir val="col"/>
        <grouping val="clustered"/>
        <ser>
          <idx val="0"/>
          <order val="0"/>
          <tx>
            <strRef>
              <f>'KPIs'!B10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'KPIs'!$A$11:$A$16</f>
              <strCache>
                <ptCount val="0"/>
              </strCache>
            </strRef>
          </cat>
          <val>
            <numRef>
              <f>'KPIs'!$B$11:$B$16</f>
              <numCache>
                <ptCount val="0"/>
              </numCache>
            </numRef>
          </val>
        </ser>
        <ser>
          <idx val="1"/>
          <order val="1"/>
          <tx>
            <strRef>
              <f>'KPIs'!C10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'KPIs'!$A$11:$A$16</f>
              <strCache>
                <ptCount val="0"/>
              </strCache>
            </strRef>
          </cat>
          <val>
            <numRef>
              <f>'KPIs'!$C$11:$C$16</f>
              <numCach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numFmt formatCode="" sourceLinked="0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5</col>
      <colOff>0</colOff>
      <row>2</row>
      <rowOff>0</rowOff>
    </from>
    <to>
      <col>2</col>
      <colOff>0</colOff>
      <row>10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Regua" displayName="tblRegua" ref="A3:B9" headerRowCount="1">
  <autoFilter ref="A3:B9"/>
  <tableColumns count="2">
    <tableColumn id="1" name="Dias_início (&gt;=)"/>
    <tableColumn id="2" name="PDD%"/>
  </tableColumns>
  <tableStyleInfo name="TableStyleMedium9" showRowStripes="1"/>
</table>
</file>

<file path=xl/tables/table2.xml><?xml version="1.0" encoding="utf-8"?>
<table xmlns="http://schemas.openxmlformats.org/spreadsheetml/2006/main" id="2" name="tblCarteira" displayName="tblCarteira" ref="A3:L123" headerRowCount="1">
  <autoFilter ref="A3:L123"/>
  <tableColumns count="12">
    <tableColumn id="1" name="Data_base"/>
    <tableColumn id="2" name="ID_Crédito"/>
    <tableColumn id="3" name="ID_Devedor"/>
    <tableColumn id="4" name="Setor"/>
    <tableColumn id="5" name="UF"/>
    <tableColumn id="6" name="Saldo_bruto"/>
    <tableColumn id="7" name="Vencimento"/>
    <tableColumn id="8" name="Dias_atraso"/>
    <tableColumn id="9" name="Garantia_tipo"/>
    <tableColumn id="10" name="Valor_garantia"/>
    <tableColumn id="11" name="Haircut_garantia"/>
    <tableColumn id="12" name="Evento"/>
  </tableColumns>
  <tableStyleInfo name="TableStyleMedium9" showRowStripes="1"/>
</table>
</file>

<file path=xl/tables/table3.xml><?xml version="1.0" encoding="utf-8"?>
<table xmlns="http://schemas.openxmlformats.org/spreadsheetml/2006/main" id="3" name="tblVagao" displayName="tblVagao" ref="A3:F27" headerRowCount="1">
  <autoFilter ref="A3:F27"/>
  <tableColumns count="6">
    <tableColumn id="1" name="ID_Devedor"/>
    <tableColumn id="2" name="Saldo_total"/>
    <tableColumn id="3" name="Max_dias_atraso"/>
    <tableColumn id="4" name="PDD%_máx_base"/>
    <tableColumn id="5" name="Vagão_ativo?"/>
    <tableColumn id="6" name="PDD%_mín_devedor"/>
  </tableColumns>
  <tableStyleInfo name="TableStyleMedium9" showRowStripes="1"/>
</table>
</file>

<file path=xl/tables/table4.xml><?xml version="1.0" encoding="utf-8"?>
<table xmlns="http://schemas.openxmlformats.org/spreadsheetml/2006/main" id="4" name="tblCalc" displayName="tblCalc" ref="A3:R123" headerRowCount="1">
  <autoFilter ref="A3:R123"/>
  <tableColumns count="18">
    <tableColumn id="1" name="Data_base"/>
    <tableColumn id="2" name="ID_Crédito"/>
    <tableColumn id="3" name="ID_Devedor"/>
    <tableColumn id="4" name="Setor"/>
    <tableColumn id="5" name="UF"/>
    <tableColumn id="6" name="Saldo_bruto"/>
    <tableColumn id="7" name="Vencimento"/>
    <tableColumn id="8" name="Dias_atraso"/>
    <tableColumn id="9" name="Garantia_tipo"/>
    <tableColumn id="10" name="Valor_garantia"/>
    <tableColumn id="11" name="Haircut_garantia"/>
    <tableColumn id="12" name="Evento"/>
    <tableColumn id="13" name="Bucket"/>
    <tableColumn id="14" name="PDD%_base"/>
    <tableColumn id="15" name="PDD%_devedor(vagão)"/>
    <tableColumn id="16" name="PDD%_final"/>
    <tableColumn id="17" name="PDD_valor_final"/>
    <tableColumn id="18" name="Inadimplente?(&gt;=corte)"/>
  </tableColumns>
  <tableStyleInfo name="TableStyleMedium9" showRowStripes="1"/>
</table>
</file>

<file path=xl/tables/table5.xml><?xml version="1.0" encoding="utf-8"?>
<table xmlns="http://schemas.openxmlformats.org/spreadsheetml/2006/main" id="5" name="tblAging" displayName="tblAging" ref="A10:D17" headerRowCount="1">
  <autoFilter ref="A10:D17"/>
  <tableColumns count="4">
    <tableColumn id="1" name="Faixa"/>
    <tableColumn id="2" name="Saldo (R$)"/>
    <tableColumn id="3" name="PDD (R$)"/>
    <tableColumn id="4" name="PDD% efetivo"/>
  </tableColumns>
  <tableStyleInfo name="TableStyleMedium9" showRowStripes="1"/>
</table>
</file>

<file path=xl/tables/table6.xml><?xml version="1.0" encoding="utf-8"?>
<table xmlns="http://schemas.openxmlformats.org/spreadsheetml/2006/main" id="6" name="tblFontes" displayName="tblFontes" ref="A3:B8" headerRowCount="1">
  <autoFilter ref="A3:B8"/>
  <tableColumns count="2">
    <tableColumn id="1" name="Descrição"/>
    <tableColumn id="2" name="URL"/>
  </tableColumns>
  <tableStyleInfo name="TableStyleMedium9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5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MVP — PDD + Efeito Vagão + Subordinação (FIDC)</t>
        </is>
      </c>
    </row>
    <row r="3">
      <c r="A3" s="2" t="inlineStr">
        <is>
          <t>Como usar</t>
        </is>
      </c>
    </row>
    <row r="4">
      <c r="A4" t="inlineStr">
        <is>
          <t>1) Cole/importe a carteira na aba 'INPUT_CARTEIRA' (colunas A–L).</t>
        </is>
      </c>
    </row>
    <row r="5">
      <c r="A5" t="inlineStr">
        <is>
          <t>2) (Opcional) Ajuste parâmetros na aba 'PARAMETROS' (cortes e cotas).</t>
        </is>
      </c>
    </row>
    <row r="6">
      <c r="A6" t="inlineStr">
        <is>
          <t>3) Veja resultados em 'KPIs' e 'SUBORDINACAO'.</t>
        </is>
      </c>
    </row>
    <row r="8">
      <c r="A8" s="2" t="inlineStr">
        <is>
          <t>Observações</t>
        </is>
      </c>
    </row>
    <row r="9">
      <c r="A9" t="inlineStr">
        <is>
          <t>• Dados de devedores/créditos aqui são sintéticos (exemplo), com distribuição realista.</t>
        </is>
      </c>
    </row>
    <row r="10">
      <c r="A10" t="inlineStr">
        <is>
          <t>• Fórmulas seguem prática de mercado (régua de atraso + coverage) e adicionam efeito vagão (por devedor).</t>
        </is>
      </c>
    </row>
    <row r="11">
      <c r="A11" t="inlineStr">
        <is>
          <t>• Macros e referências públicas estão na aba 'FONTES'.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3" t="inlineStr">
        <is>
          <t>Parâmetros (inputs)</t>
        </is>
      </c>
    </row>
    <row r="2"/>
    <row r="3">
      <c r="A3" t="inlineStr">
        <is>
          <t>Corte de inadimplência (dias) p/ indicador</t>
        </is>
      </c>
      <c r="B3" s="4" t="n">
        <v>90</v>
      </c>
    </row>
    <row r="4">
      <c r="A4" t="inlineStr">
        <is>
          <t>Corte de efeito vagão (dias) p/ gatilho por devedor</t>
        </is>
      </c>
      <c r="B4" s="4" t="n">
        <v>90</v>
      </c>
    </row>
    <row r="5">
      <c r="A5" t="inlineStr">
        <is>
          <t>Usar efeito vagão? (SIM/NÃO)</t>
        </is>
      </c>
      <c r="B5" t="inlineStr">
        <is>
          <t>NÃO</t>
        </is>
      </c>
    </row>
    <row r="6">
      <c r="A6" t="inlineStr">
        <is>
          <t>Cota Sênior (R$)</t>
        </is>
      </c>
      <c r="B6" s="5" t="n">
        <v>1000000</v>
      </c>
    </row>
    <row r="7">
      <c r="A7" t="inlineStr">
        <is>
          <t>Subordinação mínima (gatilho) %</t>
        </is>
      </c>
      <c r="B7" s="6" t="n">
        <v>0.15</v>
      </c>
    </row>
    <row r="8">
      <c r="A8" t="inlineStr">
        <is>
          <t>Escopo vagão (TODOS/VINCENDOS) [opcional]</t>
        </is>
      </c>
      <c r="B8" t="inlineStr">
        <is>
          <t>VINCENDOS</t>
        </is>
      </c>
    </row>
    <row r="9">
      <c r="A9" s="7" t="inlineStr">
        <is>
          <t>(MVP: vagão desligado por padrão)</t>
        </is>
      </c>
    </row>
    <row r="10">
      <c r="A10" t="inlineStr">
        <is>
          <t>Observação: ajuste só se quiser simular outra estrutura. O MVP funciona com estes defaults.</t>
        </is>
      </c>
    </row>
    <row r="11"/>
    <row r="12"/>
    <row r="13"/>
    <row r="14"/>
    <row r="15"/>
    <row r="16"/>
    <row r="17"/>
    <row r="18"/>
    <row r="19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3" t="inlineStr">
        <is>
          <t>Régua de PDD (exemplo — ajuste conforme regulamento do fundo)</t>
        </is>
      </c>
    </row>
    <row r="3">
      <c r="A3" s="8" t="inlineStr">
        <is>
          <t>Dias_início (&gt;=)</t>
        </is>
      </c>
      <c r="B3" s="8" t="inlineStr">
        <is>
          <t>PDD%</t>
        </is>
      </c>
    </row>
    <row r="4">
      <c r="A4" s="9" t="n">
        <v>0</v>
      </c>
      <c r="B4" s="10" t="n">
        <v>0</v>
      </c>
    </row>
    <row r="5">
      <c r="A5" s="9" t="n">
        <v>1</v>
      </c>
      <c r="B5" s="10" t="n">
        <v>0.1</v>
      </c>
    </row>
    <row r="6">
      <c r="A6" s="9" t="n">
        <v>31</v>
      </c>
      <c r="B6" s="10" t="n">
        <v>0.3</v>
      </c>
    </row>
    <row r="7">
      <c r="A7" s="9" t="n">
        <v>61</v>
      </c>
      <c r="B7" s="10" t="n">
        <v>0.5</v>
      </c>
    </row>
    <row r="8">
      <c r="A8" s="9" t="n">
        <v>91</v>
      </c>
      <c r="B8" s="10" t="n">
        <v>0.7</v>
      </c>
    </row>
    <row r="9">
      <c r="A9" s="9" t="n">
        <v>181</v>
      </c>
      <c r="B9" s="10" t="n">
        <v>1</v>
      </c>
    </row>
    <row r="10">
      <c r="A10" s="7" t="inlineStr">
        <is>
          <t>Nota: A fórmula usa VLOOKUP aproximado pela coluna Dias_início, então mantenha ordenado crescente.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6" customWidth="1" min="5" max="5"/>
    <col width="14" customWidth="1" min="6" max="6"/>
    <col width="12" customWidth="1" min="7" max="7"/>
    <col width="11" customWidth="1" min="8" max="8"/>
    <col width="18" customWidth="1" min="9" max="9"/>
    <col width="14" customWidth="1" min="10" max="10"/>
    <col width="14" customWidth="1" min="11" max="11"/>
    <col width="14" customWidth="1" min="12" max="12"/>
  </cols>
  <sheetData>
    <row r="1">
      <c r="A1" s="3" t="inlineStr">
        <is>
          <t>Input — Carteira de Direitos Creditórios (exemplo sintético realista)</t>
        </is>
      </c>
    </row>
    <row r="3">
      <c r="A3" s="8" t="inlineStr">
        <is>
          <t>Data_base</t>
        </is>
      </c>
      <c r="B3" s="8" t="inlineStr">
        <is>
          <t>ID_Crédito</t>
        </is>
      </c>
      <c r="C3" s="8" t="inlineStr">
        <is>
          <t>ID_Devedor</t>
        </is>
      </c>
      <c r="D3" s="8" t="inlineStr">
        <is>
          <t>Setor</t>
        </is>
      </c>
      <c r="E3" s="8" t="inlineStr">
        <is>
          <t>UF</t>
        </is>
      </c>
      <c r="F3" s="8" t="inlineStr">
        <is>
          <t>Saldo_bruto</t>
        </is>
      </c>
      <c r="G3" s="8" t="inlineStr">
        <is>
          <t>Vencimento</t>
        </is>
      </c>
      <c r="H3" s="8" t="inlineStr">
        <is>
          <t>Dias_atraso</t>
        </is>
      </c>
      <c r="I3" s="8" t="inlineStr">
        <is>
          <t>Garantia_tipo</t>
        </is>
      </c>
      <c r="J3" s="8" t="inlineStr">
        <is>
          <t>Valor_garantia</t>
        </is>
      </c>
      <c r="K3" s="8" t="inlineStr">
        <is>
          <t>Haircut_garantia</t>
        </is>
      </c>
      <c r="L3" s="8" t="inlineStr">
        <is>
          <t>Evento</t>
        </is>
      </c>
    </row>
    <row r="4">
      <c r="A4" s="23" t="n">
        <v>46053</v>
      </c>
      <c r="B4" t="inlineStr">
        <is>
          <t>CR00001</t>
        </is>
      </c>
      <c r="C4" t="inlineStr">
        <is>
          <t>DEV026</t>
        </is>
      </c>
      <c r="D4" t="inlineStr">
        <is>
          <t>Saúde</t>
        </is>
      </c>
      <c r="E4" t="inlineStr">
        <is>
          <t>SP</t>
        </is>
      </c>
      <c r="F4" s="12" t="n">
        <v>135173.64</v>
      </c>
      <c r="G4" s="23" t="n">
        <v>46053</v>
      </c>
      <c r="H4" s="9" t="n">
        <v>0</v>
      </c>
      <c r="I4" t="inlineStr">
        <is>
          <t>Sem garantia</t>
        </is>
      </c>
      <c r="J4" s="12" t="n">
        <v>0</v>
      </c>
      <c r="K4" s="10" t="n">
        <v>1</v>
      </c>
    </row>
    <row r="5">
      <c r="A5" s="23" t="n">
        <v>46053</v>
      </c>
      <c r="B5" t="inlineStr">
        <is>
          <t>CR00002</t>
        </is>
      </c>
      <c r="C5" t="inlineStr">
        <is>
          <t>DEV021</t>
        </is>
      </c>
      <c r="D5" t="inlineStr">
        <is>
          <t>Agro</t>
        </is>
      </c>
      <c r="E5" t="inlineStr">
        <is>
          <t>SC</t>
        </is>
      </c>
      <c r="F5" s="12" t="n">
        <v>37065.34</v>
      </c>
      <c r="G5" s="23" t="n">
        <v>46053</v>
      </c>
      <c r="H5" s="9" t="n">
        <v>0</v>
      </c>
      <c r="I5" t="inlineStr">
        <is>
          <t>Sem garantia</t>
        </is>
      </c>
      <c r="J5" s="12" t="n">
        <v>0</v>
      </c>
      <c r="K5" s="10" t="n">
        <v>1</v>
      </c>
    </row>
    <row r="6">
      <c r="A6" s="23" t="n">
        <v>46053</v>
      </c>
      <c r="B6" t="inlineStr">
        <is>
          <t>CR00003</t>
        </is>
      </c>
      <c r="C6" t="inlineStr">
        <is>
          <t>DEV002</t>
        </is>
      </c>
      <c r="D6" t="inlineStr">
        <is>
          <t>Comércio</t>
        </is>
      </c>
      <c r="E6" t="inlineStr">
        <is>
          <t>BA</t>
        </is>
      </c>
      <c r="F6" s="12" t="n">
        <v>49995.69</v>
      </c>
      <c r="G6" s="23" t="n">
        <v>46038</v>
      </c>
      <c r="H6" s="9" t="n">
        <v>15</v>
      </c>
      <c r="I6" t="inlineStr">
        <is>
          <t>Cessão fiduciária</t>
        </is>
      </c>
      <c r="J6" s="12" t="n">
        <v>37570.79</v>
      </c>
      <c r="K6" s="10" t="n">
        <v>0.3</v>
      </c>
    </row>
    <row r="7">
      <c r="A7" s="23" t="n">
        <v>46053</v>
      </c>
      <c r="B7" t="inlineStr">
        <is>
          <t>CR00004</t>
        </is>
      </c>
      <c r="C7" t="inlineStr">
        <is>
          <t>DEV008</t>
        </is>
      </c>
      <c r="D7" t="inlineStr">
        <is>
          <t>Indústria</t>
        </is>
      </c>
      <c r="E7" t="inlineStr">
        <is>
          <t>RS</t>
        </is>
      </c>
      <c r="F7" s="12" t="n">
        <v>62599.32</v>
      </c>
      <c r="G7" s="23" t="n">
        <v>45948</v>
      </c>
      <c r="H7" s="9" t="n">
        <v>105</v>
      </c>
      <c r="I7" t="inlineStr">
        <is>
          <t>Sem garantia</t>
        </is>
      </c>
      <c r="J7" s="12" t="n">
        <v>0</v>
      </c>
      <c r="K7" s="10" t="n">
        <v>1</v>
      </c>
      <c r="L7" t="inlineStr">
        <is>
          <t>Recompra</t>
        </is>
      </c>
    </row>
    <row r="8">
      <c r="A8" s="23" t="n">
        <v>46053</v>
      </c>
      <c r="B8" t="inlineStr">
        <is>
          <t>CR00005</t>
        </is>
      </c>
      <c r="C8" t="inlineStr">
        <is>
          <t>DEV020</t>
        </is>
      </c>
      <c r="D8" t="inlineStr">
        <is>
          <t>Saúde</t>
        </is>
      </c>
      <c r="E8" t="inlineStr">
        <is>
          <t>PR</t>
        </is>
      </c>
      <c r="F8" s="12" t="n">
        <v>30535.53</v>
      </c>
      <c r="G8" s="23" t="n">
        <v>45725</v>
      </c>
      <c r="H8" s="9" t="n">
        <v>328</v>
      </c>
      <c r="I8" t="inlineStr">
        <is>
          <t>Sem garantia</t>
        </is>
      </c>
      <c r="J8" s="12" t="n">
        <v>0</v>
      </c>
      <c r="K8" s="10" t="n">
        <v>1</v>
      </c>
    </row>
    <row r="9">
      <c r="A9" s="23" t="n">
        <v>46053</v>
      </c>
      <c r="B9" t="inlineStr">
        <is>
          <t>CR00006</t>
        </is>
      </c>
      <c r="C9" t="inlineStr">
        <is>
          <t>DEV028</t>
        </is>
      </c>
      <c r="D9" t="inlineStr">
        <is>
          <t>Saúde</t>
        </is>
      </c>
      <c r="E9" t="inlineStr">
        <is>
          <t>PR</t>
        </is>
      </c>
      <c r="F9" s="12" t="n">
        <v>49081.59</v>
      </c>
      <c r="G9" s="23" t="n">
        <v>46053</v>
      </c>
      <c r="H9" s="9" t="n">
        <v>0</v>
      </c>
      <c r="I9" t="inlineStr">
        <is>
          <t>Reserva de domínio</t>
        </is>
      </c>
      <c r="J9" s="12" t="n">
        <v>53792.65</v>
      </c>
      <c r="K9" s="10" t="n">
        <v>0.3</v>
      </c>
    </row>
    <row r="10">
      <c r="A10" s="23" t="n">
        <v>46053</v>
      </c>
      <c r="B10" t="inlineStr">
        <is>
          <t>CR00007</t>
        </is>
      </c>
      <c r="C10" t="inlineStr">
        <is>
          <t>DEV002</t>
        </is>
      </c>
      <c r="D10" t="inlineStr">
        <is>
          <t>Comércio</t>
        </is>
      </c>
      <c r="E10" t="inlineStr">
        <is>
          <t>BA</t>
        </is>
      </c>
      <c r="F10" s="12" t="n">
        <v>48994.62</v>
      </c>
      <c r="G10" s="23" t="n">
        <v>46053</v>
      </c>
      <c r="H10" s="9" t="n">
        <v>0</v>
      </c>
      <c r="I10" t="inlineStr">
        <is>
          <t>Reserva de domínio</t>
        </is>
      </c>
      <c r="J10" s="12" t="n">
        <v>63146.01</v>
      </c>
      <c r="K10" s="10" t="n">
        <v>0.4</v>
      </c>
      <c r="L10" t="inlineStr">
        <is>
          <t>Renegociação</t>
        </is>
      </c>
    </row>
    <row r="11">
      <c r="A11" s="23" t="n">
        <v>46053</v>
      </c>
      <c r="B11" t="inlineStr">
        <is>
          <t>CR00008</t>
        </is>
      </c>
      <c r="C11" t="inlineStr">
        <is>
          <t>DEV013</t>
        </is>
      </c>
      <c r="D11" t="inlineStr">
        <is>
          <t>Serviços</t>
        </is>
      </c>
      <c r="E11" t="inlineStr">
        <is>
          <t>CE</t>
        </is>
      </c>
      <c r="F11" s="12" t="n">
        <v>17105.67</v>
      </c>
      <c r="G11" s="23" t="n">
        <v>45974</v>
      </c>
      <c r="H11" s="9" t="n">
        <v>79</v>
      </c>
      <c r="I11" t="inlineStr">
        <is>
          <t>Sem garantia</t>
        </is>
      </c>
      <c r="J11" s="12" t="n">
        <v>0</v>
      </c>
      <c r="K11" s="10" t="n">
        <v>1</v>
      </c>
    </row>
    <row r="12">
      <c r="A12" s="23" t="n">
        <v>46053</v>
      </c>
      <c r="B12" t="inlineStr">
        <is>
          <t>CR00009</t>
        </is>
      </c>
      <c r="C12" t="inlineStr">
        <is>
          <t>DEV001</t>
        </is>
      </c>
      <c r="D12" t="inlineStr">
        <is>
          <t>Indústria</t>
        </is>
      </c>
      <c r="E12" t="inlineStr">
        <is>
          <t>CE</t>
        </is>
      </c>
      <c r="F12" s="12" t="n">
        <v>90273.10000000001</v>
      </c>
      <c r="G12" s="23" t="n">
        <v>45925</v>
      </c>
      <c r="H12" s="9" t="n">
        <v>128</v>
      </c>
      <c r="I12" t="inlineStr">
        <is>
          <t>Cessão fiduciária</t>
        </is>
      </c>
      <c r="J12" s="12" t="n">
        <v>113089.6</v>
      </c>
      <c r="K12" s="10" t="n">
        <v>0.5</v>
      </c>
    </row>
    <row r="13">
      <c r="A13" s="23" t="n">
        <v>46053</v>
      </c>
      <c r="B13" t="inlineStr">
        <is>
          <t>CR00010</t>
        </is>
      </c>
      <c r="C13" t="inlineStr">
        <is>
          <t>DEV014</t>
        </is>
      </c>
      <c r="D13" t="inlineStr">
        <is>
          <t>Serviços</t>
        </is>
      </c>
      <c r="E13" t="inlineStr">
        <is>
          <t>RS</t>
        </is>
      </c>
      <c r="F13" s="12" t="n">
        <v>70283.98</v>
      </c>
      <c r="G13" s="23" t="n">
        <v>46027</v>
      </c>
      <c r="H13" s="9" t="n">
        <v>26</v>
      </c>
      <c r="I13" t="inlineStr">
        <is>
          <t>Cessão fiduciária</t>
        </is>
      </c>
      <c r="J13" s="12" t="n">
        <v>42183.78</v>
      </c>
      <c r="K13" s="10" t="n">
        <v>0.6</v>
      </c>
      <c r="L13" t="inlineStr">
        <is>
          <t>Substituição</t>
        </is>
      </c>
    </row>
    <row r="14">
      <c r="A14" s="23" t="n">
        <v>46053</v>
      </c>
      <c r="B14" t="inlineStr">
        <is>
          <t>CR00011</t>
        </is>
      </c>
      <c r="C14" t="inlineStr">
        <is>
          <t>DEV010</t>
        </is>
      </c>
      <c r="D14" t="inlineStr">
        <is>
          <t>Serviços</t>
        </is>
      </c>
      <c r="E14" t="inlineStr">
        <is>
          <t>MG</t>
        </is>
      </c>
      <c r="F14" s="12" t="n">
        <v>33682.8</v>
      </c>
      <c r="G14" s="23" t="n">
        <v>46008</v>
      </c>
      <c r="H14" s="9" t="n">
        <v>45</v>
      </c>
      <c r="I14" t="inlineStr">
        <is>
          <t>Alienação fiduciária</t>
        </is>
      </c>
      <c r="J14" s="12" t="n">
        <v>28266.46</v>
      </c>
      <c r="K14" s="10" t="n">
        <v>0.5</v>
      </c>
    </row>
    <row r="15">
      <c r="A15" s="23" t="n">
        <v>46053</v>
      </c>
      <c r="B15" t="inlineStr">
        <is>
          <t>CR00012</t>
        </is>
      </c>
      <c r="C15" t="inlineStr">
        <is>
          <t>DEV028</t>
        </is>
      </c>
      <c r="D15" t="inlineStr">
        <is>
          <t>Saúde</t>
        </is>
      </c>
      <c r="E15" t="inlineStr">
        <is>
          <t>PR</t>
        </is>
      </c>
      <c r="F15" s="12" t="n">
        <v>44226.13</v>
      </c>
      <c r="G15" s="23" t="n">
        <v>45969</v>
      </c>
      <c r="H15" s="9" t="n">
        <v>84</v>
      </c>
      <c r="I15" t="inlineStr">
        <is>
          <t>Sem garantia</t>
        </is>
      </c>
      <c r="J15" s="12" t="n">
        <v>0</v>
      </c>
      <c r="K15" s="10" t="n">
        <v>1</v>
      </c>
    </row>
    <row r="16">
      <c r="A16" s="23" t="n">
        <v>46053</v>
      </c>
      <c r="B16" t="inlineStr">
        <is>
          <t>CR00013</t>
        </is>
      </c>
      <c r="C16" t="inlineStr">
        <is>
          <t>DEV002</t>
        </is>
      </c>
      <c r="D16" t="inlineStr">
        <is>
          <t>Comércio</t>
        </is>
      </c>
      <c r="E16" t="inlineStr">
        <is>
          <t>BA</t>
        </is>
      </c>
      <c r="F16" s="12" t="n">
        <v>66381.89</v>
      </c>
      <c r="G16" s="23" t="n">
        <v>46047</v>
      </c>
      <c r="H16" s="9" t="n">
        <v>6</v>
      </c>
      <c r="I16" t="inlineStr">
        <is>
          <t>Cessão fiduciária</t>
        </is>
      </c>
      <c r="J16" s="12" t="n">
        <v>68534.87</v>
      </c>
      <c r="K16" s="10" t="n">
        <v>0.3</v>
      </c>
    </row>
    <row r="17">
      <c r="A17" s="23" t="n">
        <v>46053</v>
      </c>
      <c r="B17" t="inlineStr">
        <is>
          <t>CR00014</t>
        </is>
      </c>
      <c r="C17" t="inlineStr">
        <is>
          <t>DEV018</t>
        </is>
      </c>
      <c r="D17" t="inlineStr">
        <is>
          <t>Comércio</t>
        </is>
      </c>
      <c r="E17" t="inlineStr">
        <is>
          <t>CE</t>
        </is>
      </c>
      <c r="F17" s="12" t="n">
        <v>41906.08</v>
      </c>
      <c r="G17" s="23" t="n">
        <v>45874</v>
      </c>
      <c r="H17" s="9" t="n">
        <v>179</v>
      </c>
      <c r="I17" t="inlineStr">
        <is>
          <t>Sem garantia</t>
        </is>
      </c>
      <c r="J17" s="12" t="n">
        <v>0</v>
      </c>
      <c r="K17" s="10" t="n">
        <v>1</v>
      </c>
    </row>
    <row r="18">
      <c r="A18" s="23" t="n">
        <v>46053</v>
      </c>
      <c r="B18" t="inlineStr">
        <is>
          <t>CR00015</t>
        </is>
      </c>
      <c r="C18" t="inlineStr">
        <is>
          <t>DEV028</t>
        </is>
      </c>
      <c r="D18" t="inlineStr">
        <is>
          <t>Saúde</t>
        </is>
      </c>
      <c r="E18" t="inlineStr">
        <is>
          <t>PR</t>
        </is>
      </c>
      <c r="F18" s="12" t="n">
        <v>42376.56</v>
      </c>
      <c r="G18" s="23" t="n">
        <v>46053</v>
      </c>
      <c r="H18" s="9" t="n">
        <v>0</v>
      </c>
      <c r="I18" t="inlineStr">
        <is>
          <t>Sem garantia</t>
        </is>
      </c>
      <c r="J18" s="12" t="n">
        <v>0</v>
      </c>
      <c r="K18" s="10" t="n">
        <v>1</v>
      </c>
    </row>
    <row r="19">
      <c r="A19" s="23" t="n">
        <v>46053</v>
      </c>
      <c r="B19" t="inlineStr">
        <is>
          <t>CR00016</t>
        </is>
      </c>
      <c r="C19" t="inlineStr">
        <is>
          <t>DEV028</t>
        </is>
      </c>
      <c r="D19" t="inlineStr">
        <is>
          <t>Saúde</t>
        </is>
      </c>
      <c r="E19" t="inlineStr">
        <is>
          <t>PR</t>
        </is>
      </c>
      <c r="F19" s="12" t="n">
        <v>20497.44</v>
      </c>
      <c r="G19" s="23" t="n">
        <v>46053</v>
      </c>
      <c r="H19" s="9" t="n">
        <v>0</v>
      </c>
      <c r="I19" t="inlineStr">
        <is>
          <t>Sem garantia</t>
        </is>
      </c>
      <c r="J19" s="12" t="n">
        <v>0</v>
      </c>
      <c r="K19" s="10" t="n">
        <v>1</v>
      </c>
    </row>
    <row r="20">
      <c r="A20" s="23" t="n">
        <v>46053</v>
      </c>
      <c r="B20" t="inlineStr">
        <is>
          <t>CR00017</t>
        </is>
      </c>
      <c r="C20" t="inlineStr">
        <is>
          <t>DEV004</t>
        </is>
      </c>
      <c r="D20" t="inlineStr">
        <is>
          <t>Serviços</t>
        </is>
      </c>
      <c r="E20" t="inlineStr">
        <is>
          <t>PR</t>
        </is>
      </c>
      <c r="F20" s="12" t="n">
        <v>68374.02</v>
      </c>
      <c r="G20" s="23" t="n">
        <v>46053</v>
      </c>
      <c r="H20" s="9" t="n">
        <v>0</v>
      </c>
      <c r="I20" t="inlineStr">
        <is>
          <t>Sem garantia</t>
        </is>
      </c>
      <c r="J20" s="12" t="n">
        <v>0</v>
      </c>
      <c r="K20" s="10" t="n">
        <v>1</v>
      </c>
    </row>
    <row r="21">
      <c r="A21" s="23" t="n">
        <v>46053</v>
      </c>
      <c r="B21" t="inlineStr">
        <is>
          <t>CR00018</t>
        </is>
      </c>
      <c r="C21" t="inlineStr">
        <is>
          <t>DEV028</t>
        </is>
      </c>
      <c r="D21" t="inlineStr">
        <is>
          <t>Saúde</t>
        </is>
      </c>
      <c r="E21" t="inlineStr">
        <is>
          <t>PR</t>
        </is>
      </c>
      <c r="F21" s="12" t="n">
        <v>52803.28</v>
      </c>
      <c r="G21" s="23" t="n">
        <v>46053</v>
      </c>
      <c r="H21" s="9" t="n">
        <v>0</v>
      </c>
      <c r="I21" t="inlineStr">
        <is>
          <t>Sem garantia</t>
        </is>
      </c>
      <c r="J21" s="12" t="n">
        <v>0</v>
      </c>
      <c r="K21" s="10" t="n">
        <v>1</v>
      </c>
    </row>
    <row r="22">
      <c r="A22" s="23" t="n">
        <v>46053</v>
      </c>
      <c r="B22" t="inlineStr">
        <is>
          <t>CR00019</t>
        </is>
      </c>
      <c r="C22" t="inlineStr">
        <is>
          <t>DEV028</t>
        </is>
      </c>
      <c r="D22" t="inlineStr">
        <is>
          <t>Saúde</t>
        </is>
      </c>
      <c r="E22" t="inlineStr">
        <is>
          <t>PR</t>
        </is>
      </c>
      <c r="F22" s="12" t="n">
        <v>57796.06</v>
      </c>
      <c r="G22" s="23" t="n">
        <v>45951</v>
      </c>
      <c r="H22" s="9" t="n">
        <v>102</v>
      </c>
      <c r="I22" t="inlineStr">
        <is>
          <t>Sem garantia</t>
        </is>
      </c>
      <c r="J22" s="12" t="n">
        <v>0</v>
      </c>
      <c r="K22" s="10" t="n">
        <v>1</v>
      </c>
    </row>
    <row r="23">
      <c r="A23" s="23" t="n">
        <v>46053</v>
      </c>
      <c r="B23" t="inlineStr">
        <is>
          <t>CR00020</t>
        </is>
      </c>
      <c r="C23" t="inlineStr">
        <is>
          <t>DEV014</t>
        </is>
      </c>
      <c r="D23" t="inlineStr">
        <is>
          <t>Serviços</t>
        </is>
      </c>
      <c r="E23" t="inlineStr">
        <is>
          <t>RS</t>
        </is>
      </c>
      <c r="F23" s="12" t="n">
        <v>19615.69</v>
      </c>
      <c r="G23" s="23" t="n">
        <v>46053</v>
      </c>
      <c r="H23" s="9" t="n">
        <v>0</v>
      </c>
      <c r="I23" t="inlineStr">
        <is>
          <t>Fiança</t>
        </is>
      </c>
      <c r="J23" s="12" t="n">
        <v>15407</v>
      </c>
      <c r="K23" s="10" t="n">
        <v>0.4</v>
      </c>
    </row>
    <row r="24">
      <c r="A24" s="23" t="n">
        <v>46053</v>
      </c>
      <c r="B24" t="inlineStr">
        <is>
          <t>CR00021</t>
        </is>
      </c>
      <c r="C24" t="inlineStr">
        <is>
          <t>DEV024</t>
        </is>
      </c>
      <c r="D24" t="inlineStr">
        <is>
          <t>Serviços</t>
        </is>
      </c>
      <c r="E24" t="inlineStr">
        <is>
          <t>RJ</t>
        </is>
      </c>
      <c r="F24" s="12" t="n">
        <v>131981.87</v>
      </c>
      <c r="G24" s="23" t="n">
        <v>45996</v>
      </c>
      <c r="H24" s="9" t="n">
        <v>57</v>
      </c>
      <c r="I24" t="inlineStr">
        <is>
          <t>Sem garantia</t>
        </is>
      </c>
      <c r="J24" s="12" t="n">
        <v>0</v>
      </c>
      <c r="K24" s="10" t="n">
        <v>1</v>
      </c>
    </row>
    <row r="25">
      <c r="A25" s="23" t="n">
        <v>46053</v>
      </c>
      <c r="B25" t="inlineStr">
        <is>
          <t>CR00022</t>
        </is>
      </c>
      <c r="C25" t="inlineStr">
        <is>
          <t>DEV021</t>
        </is>
      </c>
      <c r="D25" t="inlineStr">
        <is>
          <t>Agro</t>
        </is>
      </c>
      <c r="E25" t="inlineStr">
        <is>
          <t>SC</t>
        </is>
      </c>
      <c r="F25" s="12" t="n">
        <v>53777.01</v>
      </c>
      <c r="G25" s="23" t="n">
        <v>46053</v>
      </c>
      <c r="H25" s="9" t="n">
        <v>0</v>
      </c>
      <c r="I25" t="inlineStr">
        <is>
          <t>Alienação fiduciária</t>
        </is>
      </c>
      <c r="J25" s="12" t="n">
        <v>43839.81</v>
      </c>
      <c r="K25" s="10" t="n">
        <v>0.3</v>
      </c>
      <c r="L25" t="inlineStr">
        <is>
          <t>Recompra</t>
        </is>
      </c>
    </row>
    <row r="26">
      <c r="A26" s="23" t="n">
        <v>46053</v>
      </c>
      <c r="B26" t="inlineStr">
        <is>
          <t>CR00023</t>
        </is>
      </c>
      <c r="C26" t="inlineStr">
        <is>
          <t>DEV024</t>
        </is>
      </c>
      <c r="D26" t="inlineStr">
        <is>
          <t>Serviços</t>
        </is>
      </c>
      <c r="E26" t="inlineStr">
        <is>
          <t>RJ</t>
        </is>
      </c>
      <c r="F26" s="12" t="n">
        <v>38859.82</v>
      </c>
      <c r="G26" s="23" t="n">
        <v>46053</v>
      </c>
      <c r="H26" s="9" t="n">
        <v>0</v>
      </c>
      <c r="I26" t="inlineStr">
        <is>
          <t>Cessão fiduciária</t>
        </is>
      </c>
      <c r="J26" s="12" t="n">
        <v>23334.7</v>
      </c>
      <c r="K26" s="10" t="n">
        <v>0.3</v>
      </c>
    </row>
    <row r="27">
      <c r="A27" s="23" t="n">
        <v>46053</v>
      </c>
      <c r="B27" t="inlineStr">
        <is>
          <t>CR00024</t>
        </is>
      </c>
      <c r="C27" t="inlineStr">
        <is>
          <t>DEV012</t>
        </is>
      </c>
      <c r="D27" t="inlineStr">
        <is>
          <t>Comércio</t>
        </is>
      </c>
      <c r="E27" t="inlineStr">
        <is>
          <t>RJ</t>
        </is>
      </c>
      <c r="F27" s="12" t="n">
        <v>165618.68</v>
      </c>
      <c r="G27" s="23" t="n">
        <v>46053</v>
      </c>
      <c r="H27" s="9" t="n">
        <v>0</v>
      </c>
      <c r="I27" t="inlineStr">
        <is>
          <t>Cessão fiduciária</t>
        </is>
      </c>
      <c r="J27" s="12" t="n">
        <v>103620.88</v>
      </c>
      <c r="K27" s="10" t="n">
        <v>0.6</v>
      </c>
      <c r="L27" t="inlineStr">
        <is>
          <t>Renegociação</t>
        </is>
      </c>
    </row>
    <row r="28">
      <c r="A28" s="23" t="n">
        <v>46053</v>
      </c>
      <c r="B28" t="inlineStr">
        <is>
          <t>CR00025</t>
        </is>
      </c>
      <c r="C28" t="inlineStr">
        <is>
          <t>DEV017</t>
        </is>
      </c>
      <c r="D28" t="inlineStr">
        <is>
          <t>Serviços</t>
        </is>
      </c>
      <c r="E28" t="inlineStr">
        <is>
          <t>RJ</t>
        </is>
      </c>
      <c r="F28" s="12" t="n">
        <v>47703.9</v>
      </c>
      <c r="G28" s="23" t="n">
        <v>46053</v>
      </c>
      <c r="H28" s="9" t="n">
        <v>0</v>
      </c>
      <c r="I28" t="inlineStr">
        <is>
          <t>Alienação fiduciária</t>
        </is>
      </c>
      <c r="J28" s="12" t="n">
        <v>34700.49</v>
      </c>
      <c r="K28" s="10" t="n">
        <v>0.3</v>
      </c>
    </row>
    <row r="29">
      <c r="A29" s="23" t="n">
        <v>46053</v>
      </c>
      <c r="B29" t="inlineStr">
        <is>
          <t>CR00026</t>
        </is>
      </c>
      <c r="C29" t="inlineStr">
        <is>
          <t>DEV012</t>
        </is>
      </c>
      <c r="D29" t="inlineStr">
        <is>
          <t>Comércio</t>
        </is>
      </c>
      <c r="E29" t="inlineStr">
        <is>
          <t>RJ</t>
        </is>
      </c>
      <c r="F29" s="12" t="n">
        <v>20528.98</v>
      </c>
      <c r="G29" s="23" t="n">
        <v>46031</v>
      </c>
      <c r="H29" s="9" t="n">
        <v>22</v>
      </c>
      <c r="I29" t="inlineStr">
        <is>
          <t>Sem garantia</t>
        </is>
      </c>
      <c r="J29" s="12" t="n">
        <v>0</v>
      </c>
      <c r="K29" s="10" t="n">
        <v>1</v>
      </c>
    </row>
    <row r="30">
      <c r="A30" s="23" t="n">
        <v>46053</v>
      </c>
      <c r="B30" t="inlineStr">
        <is>
          <t>CR00027</t>
        </is>
      </c>
      <c r="C30" t="inlineStr">
        <is>
          <t>DEV023</t>
        </is>
      </c>
      <c r="D30" t="inlineStr">
        <is>
          <t>Saúde</t>
        </is>
      </c>
      <c r="E30" t="inlineStr">
        <is>
          <t>PE</t>
        </is>
      </c>
      <c r="F30" s="12" t="n">
        <v>38440.36</v>
      </c>
      <c r="G30" s="23" t="n">
        <v>46050</v>
      </c>
      <c r="H30" s="9" t="n">
        <v>3</v>
      </c>
      <c r="I30" t="inlineStr">
        <is>
          <t>Sem garantia</t>
        </is>
      </c>
      <c r="J30" s="12" t="n">
        <v>0</v>
      </c>
      <c r="K30" s="10" t="n">
        <v>1</v>
      </c>
    </row>
    <row r="31">
      <c r="A31" s="23" t="n">
        <v>46053</v>
      </c>
      <c r="B31" t="inlineStr">
        <is>
          <t>CR00028</t>
        </is>
      </c>
      <c r="C31" t="inlineStr">
        <is>
          <t>DEV001</t>
        </is>
      </c>
      <c r="D31" t="inlineStr">
        <is>
          <t>Indústria</t>
        </is>
      </c>
      <c r="E31" t="inlineStr">
        <is>
          <t>CE</t>
        </is>
      </c>
      <c r="F31" s="12" t="n">
        <v>15000</v>
      </c>
      <c r="G31" s="23" t="n">
        <v>46053</v>
      </c>
      <c r="H31" s="9" t="n">
        <v>0</v>
      </c>
      <c r="I31" t="inlineStr">
        <is>
          <t>Alienação fiduciária</t>
        </is>
      </c>
      <c r="J31" s="12" t="n">
        <v>12686.78</v>
      </c>
      <c r="K31" s="10" t="n">
        <v>0.4</v>
      </c>
    </row>
    <row r="32">
      <c r="A32" s="23" t="n">
        <v>46053</v>
      </c>
      <c r="B32" t="inlineStr">
        <is>
          <t>CR00029</t>
        </is>
      </c>
      <c r="C32" t="inlineStr">
        <is>
          <t>DEV016</t>
        </is>
      </c>
      <c r="D32" t="inlineStr">
        <is>
          <t>Agro</t>
        </is>
      </c>
      <c r="E32" t="inlineStr">
        <is>
          <t>MG</t>
        </is>
      </c>
      <c r="F32" s="12" t="n">
        <v>92008.66</v>
      </c>
      <c r="G32" s="23" t="n">
        <v>46006</v>
      </c>
      <c r="H32" s="9" t="n">
        <v>47</v>
      </c>
      <c r="I32" t="inlineStr">
        <is>
          <t>Alienação fiduciária</t>
        </is>
      </c>
      <c r="J32" s="12" t="n">
        <v>81611.67999999999</v>
      </c>
      <c r="K32" s="10" t="n">
        <v>0.3</v>
      </c>
    </row>
    <row r="33">
      <c r="A33" s="23" t="n">
        <v>46053</v>
      </c>
      <c r="B33" t="inlineStr">
        <is>
          <t>CR00030</t>
        </is>
      </c>
      <c r="C33" t="inlineStr">
        <is>
          <t>DEV001</t>
        </is>
      </c>
      <c r="D33" t="inlineStr">
        <is>
          <t>Indústria</t>
        </is>
      </c>
      <c r="E33" t="inlineStr">
        <is>
          <t>CE</t>
        </is>
      </c>
      <c r="F33" s="12" t="n">
        <v>38181.84</v>
      </c>
      <c r="G33" s="23" t="n">
        <v>46053</v>
      </c>
      <c r="H33" s="9" t="n">
        <v>0</v>
      </c>
      <c r="I33" t="inlineStr">
        <is>
          <t>Sem garantia</t>
        </is>
      </c>
      <c r="J33" s="12" t="n">
        <v>0</v>
      </c>
      <c r="K33" s="10" t="n">
        <v>1</v>
      </c>
      <c r="L33" t="inlineStr">
        <is>
          <t>Renegociação</t>
        </is>
      </c>
    </row>
    <row r="34">
      <c r="A34" s="23" t="n">
        <v>46053</v>
      </c>
      <c r="B34" t="inlineStr">
        <is>
          <t>CR00031</t>
        </is>
      </c>
      <c r="C34" t="inlineStr">
        <is>
          <t>DEV011</t>
        </is>
      </c>
      <c r="D34" t="inlineStr">
        <is>
          <t>Saúde</t>
        </is>
      </c>
      <c r="E34" t="inlineStr">
        <is>
          <t>PE</t>
        </is>
      </c>
      <c r="F34" s="12" t="n">
        <v>31397.01</v>
      </c>
      <c r="G34" s="23" t="n">
        <v>46053</v>
      </c>
      <c r="H34" s="9" t="n">
        <v>0</v>
      </c>
      <c r="I34" t="inlineStr">
        <is>
          <t>Fiança</t>
        </is>
      </c>
      <c r="J34" s="12" t="n">
        <v>23659.13</v>
      </c>
      <c r="K34" s="10" t="n">
        <v>0.6</v>
      </c>
    </row>
    <row r="35">
      <c r="A35" s="23" t="n">
        <v>46053</v>
      </c>
      <c r="B35" t="inlineStr">
        <is>
          <t>CR00032</t>
        </is>
      </c>
      <c r="C35" t="inlineStr">
        <is>
          <t>DEV001</t>
        </is>
      </c>
      <c r="D35" t="inlineStr">
        <is>
          <t>Indústria</t>
        </is>
      </c>
      <c r="E35" t="inlineStr">
        <is>
          <t>CE</t>
        </is>
      </c>
      <c r="F35" s="12" t="n">
        <v>93291.28999999999</v>
      </c>
      <c r="G35" s="23" t="n">
        <v>46053</v>
      </c>
      <c r="H35" s="9" t="n">
        <v>0</v>
      </c>
      <c r="I35" t="inlineStr">
        <is>
          <t>Sem garantia</t>
        </is>
      </c>
      <c r="J35" s="12" t="n">
        <v>0</v>
      </c>
      <c r="K35" s="10" t="n">
        <v>1</v>
      </c>
      <c r="L35" t="inlineStr">
        <is>
          <t>Renegociação</t>
        </is>
      </c>
    </row>
    <row r="36">
      <c r="A36" s="23" t="n">
        <v>46053</v>
      </c>
      <c r="B36" t="inlineStr">
        <is>
          <t>CR00033</t>
        </is>
      </c>
      <c r="C36" t="inlineStr">
        <is>
          <t>DEV028</t>
        </is>
      </c>
      <c r="D36" t="inlineStr">
        <is>
          <t>Saúde</t>
        </is>
      </c>
      <c r="E36" t="inlineStr">
        <is>
          <t>PR</t>
        </is>
      </c>
      <c r="F36" s="12" t="n">
        <v>18203.24</v>
      </c>
      <c r="G36" s="23" t="n">
        <v>46053</v>
      </c>
      <c r="H36" s="9" t="n">
        <v>0</v>
      </c>
      <c r="I36" t="inlineStr">
        <is>
          <t>Sem garantia</t>
        </is>
      </c>
      <c r="J36" s="12" t="n">
        <v>0</v>
      </c>
      <c r="K36" s="10" t="n">
        <v>1</v>
      </c>
      <c r="L36" t="inlineStr">
        <is>
          <t>Alongamento</t>
        </is>
      </c>
    </row>
    <row r="37">
      <c r="A37" s="23" t="n">
        <v>46053</v>
      </c>
      <c r="B37" t="inlineStr">
        <is>
          <t>CR00034</t>
        </is>
      </c>
      <c r="C37" t="inlineStr">
        <is>
          <t>DEV004</t>
        </is>
      </c>
      <c r="D37" t="inlineStr">
        <is>
          <t>Serviços</t>
        </is>
      </c>
      <c r="E37" t="inlineStr">
        <is>
          <t>PR</t>
        </is>
      </c>
      <c r="F37" s="12" t="n">
        <v>67592.86</v>
      </c>
      <c r="G37" s="23" t="n">
        <v>45877</v>
      </c>
      <c r="H37" s="9" t="n">
        <v>176</v>
      </c>
      <c r="I37" t="inlineStr">
        <is>
          <t>Sem garantia</t>
        </is>
      </c>
      <c r="J37" s="12" t="n">
        <v>0</v>
      </c>
      <c r="K37" s="10" t="n">
        <v>1</v>
      </c>
    </row>
    <row r="38">
      <c r="A38" s="23" t="n">
        <v>46053</v>
      </c>
      <c r="B38" t="inlineStr">
        <is>
          <t>CR00035</t>
        </is>
      </c>
      <c r="C38" t="inlineStr">
        <is>
          <t>DEV020</t>
        </is>
      </c>
      <c r="D38" t="inlineStr">
        <is>
          <t>Saúde</t>
        </is>
      </c>
      <c r="E38" t="inlineStr">
        <is>
          <t>PR</t>
        </is>
      </c>
      <c r="F38" s="12" t="n">
        <v>15000</v>
      </c>
      <c r="G38" s="23" t="n">
        <v>45921</v>
      </c>
      <c r="H38" s="9" t="n">
        <v>132</v>
      </c>
      <c r="I38" t="inlineStr">
        <is>
          <t>Sem garantia</t>
        </is>
      </c>
      <c r="J38" s="12" t="n">
        <v>0</v>
      </c>
      <c r="K38" s="10" t="n">
        <v>1</v>
      </c>
      <c r="L38" t="inlineStr">
        <is>
          <t>Renegociação</t>
        </is>
      </c>
    </row>
    <row r="39">
      <c r="A39" s="23" t="n">
        <v>46053</v>
      </c>
      <c r="B39" t="inlineStr">
        <is>
          <t>CR00036</t>
        </is>
      </c>
      <c r="C39" t="inlineStr">
        <is>
          <t>DEV002</t>
        </is>
      </c>
      <c r="D39" t="inlineStr">
        <is>
          <t>Comércio</t>
        </is>
      </c>
      <c r="E39" t="inlineStr">
        <is>
          <t>BA</t>
        </is>
      </c>
      <c r="F39" s="12" t="n">
        <v>32948.61</v>
      </c>
      <c r="G39" s="23" t="n">
        <v>45973</v>
      </c>
      <c r="H39" s="9" t="n">
        <v>80</v>
      </c>
      <c r="I39" t="inlineStr">
        <is>
          <t>Sem garantia</t>
        </is>
      </c>
      <c r="J39" s="12" t="n">
        <v>0</v>
      </c>
      <c r="K39" s="10" t="n">
        <v>1</v>
      </c>
    </row>
    <row r="40">
      <c r="A40" s="23" t="n">
        <v>46053</v>
      </c>
      <c r="B40" t="inlineStr">
        <is>
          <t>CR00037</t>
        </is>
      </c>
      <c r="C40" t="inlineStr">
        <is>
          <t>DEV013</t>
        </is>
      </c>
      <c r="D40" t="inlineStr">
        <is>
          <t>Serviços</t>
        </is>
      </c>
      <c r="E40" t="inlineStr">
        <is>
          <t>CE</t>
        </is>
      </c>
      <c r="F40" s="12" t="n">
        <v>23800.65</v>
      </c>
      <c r="G40" s="23" t="n">
        <v>46053</v>
      </c>
      <c r="H40" s="9" t="n">
        <v>0</v>
      </c>
      <c r="I40" t="inlineStr">
        <is>
          <t>Alienação fiduciária</t>
        </is>
      </c>
      <c r="J40" s="12" t="n">
        <v>29028.77</v>
      </c>
      <c r="K40" s="10" t="n">
        <v>0.4</v>
      </c>
    </row>
    <row r="41">
      <c r="A41" s="23" t="n">
        <v>46053</v>
      </c>
      <c r="B41" t="inlineStr">
        <is>
          <t>CR00038</t>
        </is>
      </c>
      <c r="C41" t="inlineStr">
        <is>
          <t>DEV016</t>
        </is>
      </c>
      <c r="D41" t="inlineStr">
        <is>
          <t>Agro</t>
        </is>
      </c>
      <c r="E41" t="inlineStr">
        <is>
          <t>MG</t>
        </is>
      </c>
      <c r="F41" s="12" t="n">
        <v>117852.06</v>
      </c>
      <c r="G41" s="23" t="n">
        <v>46053</v>
      </c>
      <c r="H41" s="9" t="n">
        <v>0</v>
      </c>
      <c r="I41" t="inlineStr">
        <is>
          <t>Sem garantia</t>
        </is>
      </c>
      <c r="J41" s="12" t="n">
        <v>0</v>
      </c>
      <c r="K41" s="10" t="n">
        <v>1</v>
      </c>
    </row>
    <row r="42">
      <c r="A42" s="23" t="n">
        <v>46053</v>
      </c>
      <c r="B42" t="inlineStr">
        <is>
          <t>CR00039</t>
        </is>
      </c>
      <c r="C42" t="inlineStr">
        <is>
          <t>DEV001</t>
        </is>
      </c>
      <c r="D42" t="inlineStr">
        <is>
          <t>Indústria</t>
        </is>
      </c>
      <c r="E42" t="inlineStr">
        <is>
          <t>CE</t>
        </is>
      </c>
      <c r="F42" s="12" t="n">
        <v>141449.29</v>
      </c>
      <c r="G42" s="23" t="n">
        <v>46053</v>
      </c>
      <c r="H42" s="9" t="n">
        <v>0</v>
      </c>
      <c r="I42" t="inlineStr">
        <is>
          <t>Sem garantia</t>
        </is>
      </c>
      <c r="J42" s="12" t="n">
        <v>0</v>
      </c>
      <c r="K42" s="10" t="n">
        <v>1</v>
      </c>
    </row>
    <row r="43">
      <c r="A43" s="23" t="n">
        <v>46053</v>
      </c>
      <c r="B43" t="inlineStr">
        <is>
          <t>CR00040</t>
        </is>
      </c>
      <c r="C43" t="inlineStr">
        <is>
          <t>DEV017</t>
        </is>
      </c>
      <c r="D43" t="inlineStr">
        <is>
          <t>Serviços</t>
        </is>
      </c>
      <c r="E43" t="inlineStr">
        <is>
          <t>RJ</t>
        </is>
      </c>
      <c r="F43" s="12" t="n">
        <v>40229.34</v>
      </c>
      <c r="G43" s="23" t="n">
        <v>46050</v>
      </c>
      <c r="H43" s="9" t="n">
        <v>3</v>
      </c>
      <c r="I43" t="inlineStr">
        <is>
          <t>Sem garantia</t>
        </is>
      </c>
      <c r="J43" s="12" t="n">
        <v>0</v>
      </c>
      <c r="K43" s="10" t="n">
        <v>1</v>
      </c>
    </row>
    <row r="44">
      <c r="A44" s="23" t="n">
        <v>46053</v>
      </c>
      <c r="B44" t="inlineStr">
        <is>
          <t>CR00041</t>
        </is>
      </c>
      <c r="C44" t="inlineStr">
        <is>
          <t>DEV028</t>
        </is>
      </c>
      <c r="D44" t="inlineStr">
        <is>
          <t>Saúde</t>
        </is>
      </c>
      <c r="E44" t="inlineStr">
        <is>
          <t>PR</t>
        </is>
      </c>
      <c r="F44" s="12" t="n">
        <v>81181.28</v>
      </c>
      <c r="G44" s="23" t="n">
        <v>46053</v>
      </c>
      <c r="H44" s="9" t="n">
        <v>0</v>
      </c>
      <c r="I44" t="inlineStr">
        <is>
          <t>Sem garantia</t>
        </is>
      </c>
      <c r="J44" s="12" t="n">
        <v>0</v>
      </c>
      <c r="K44" s="10" t="n">
        <v>1</v>
      </c>
    </row>
    <row r="45">
      <c r="A45" s="23" t="n">
        <v>46053</v>
      </c>
      <c r="B45" t="inlineStr">
        <is>
          <t>CR00042</t>
        </is>
      </c>
      <c r="C45" t="inlineStr">
        <is>
          <t>DEV020</t>
        </is>
      </c>
      <c r="D45" t="inlineStr">
        <is>
          <t>Saúde</t>
        </is>
      </c>
      <c r="E45" t="inlineStr">
        <is>
          <t>PR</t>
        </is>
      </c>
      <c r="F45" s="12" t="n">
        <v>44002.78</v>
      </c>
      <c r="G45" s="23" t="n">
        <v>46034</v>
      </c>
      <c r="H45" s="9" t="n">
        <v>19</v>
      </c>
      <c r="I45" t="inlineStr">
        <is>
          <t>Sem garantia</t>
        </is>
      </c>
      <c r="J45" s="12" t="n">
        <v>0</v>
      </c>
      <c r="K45" s="10" t="n">
        <v>1</v>
      </c>
    </row>
    <row r="46">
      <c r="A46" s="23" t="n">
        <v>46053</v>
      </c>
      <c r="B46" t="inlineStr">
        <is>
          <t>CR00043</t>
        </is>
      </c>
      <c r="C46" t="inlineStr">
        <is>
          <t>DEV026</t>
        </is>
      </c>
      <c r="D46" t="inlineStr">
        <is>
          <t>Saúde</t>
        </is>
      </c>
      <c r="E46" t="inlineStr">
        <is>
          <t>SP</t>
        </is>
      </c>
      <c r="F46" s="12" t="n">
        <v>68929.34</v>
      </c>
      <c r="G46" s="23" t="n">
        <v>45888</v>
      </c>
      <c r="H46" s="9" t="n">
        <v>165</v>
      </c>
      <c r="I46" t="inlineStr">
        <is>
          <t>Sem garantia</t>
        </is>
      </c>
      <c r="J46" s="12" t="n">
        <v>0</v>
      </c>
      <c r="K46" s="10" t="n">
        <v>1</v>
      </c>
    </row>
    <row r="47">
      <c r="A47" s="23" t="n">
        <v>46053</v>
      </c>
      <c r="B47" t="inlineStr">
        <is>
          <t>CR00044</t>
        </is>
      </c>
      <c r="C47" t="inlineStr">
        <is>
          <t>DEV024</t>
        </is>
      </c>
      <c r="D47" t="inlineStr">
        <is>
          <t>Serviços</t>
        </is>
      </c>
      <c r="E47" t="inlineStr">
        <is>
          <t>RJ</t>
        </is>
      </c>
      <c r="F47" s="12" t="n">
        <v>31203.88</v>
      </c>
      <c r="G47" s="23" t="n">
        <v>46053</v>
      </c>
      <c r="H47" s="9" t="n">
        <v>0</v>
      </c>
      <c r="I47" t="inlineStr">
        <is>
          <t>Sem garantia</t>
        </is>
      </c>
      <c r="J47" s="12" t="n">
        <v>0</v>
      </c>
      <c r="K47" s="10" t="n">
        <v>1</v>
      </c>
    </row>
    <row r="48">
      <c r="A48" s="23" t="n">
        <v>46053</v>
      </c>
      <c r="B48" t="inlineStr">
        <is>
          <t>CR00045</t>
        </is>
      </c>
      <c r="C48" t="inlineStr">
        <is>
          <t>DEV021</t>
        </is>
      </c>
      <c r="D48" t="inlineStr">
        <is>
          <t>Agro</t>
        </is>
      </c>
      <c r="E48" t="inlineStr">
        <is>
          <t>SC</t>
        </is>
      </c>
      <c r="F48" s="12" t="n">
        <v>17588.43</v>
      </c>
      <c r="G48" s="23" t="n">
        <v>45846</v>
      </c>
      <c r="H48" s="9" t="n">
        <v>207</v>
      </c>
      <c r="I48" t="inlineStr">
        <is>
          <t>Sem garantia</t>
        </is>
      </c>
      <c r="J48" s="12" t="n">
        <v>0</v>
      </c>
      <c r="K48" s="10" t="n">
        <v>1</v>
      </c>
    </row>
    <row r="49">
      <c r="A49" s="23" t="n">
        <v>46053</v>
      </c>
      <c r="B49" t="inlineStr">
        <is>
          <t>CR00046</t>
        </is>
      </c>
      <c r="C49" t="inlineStr">
        <is>
          <t>DEV026</t>
        </is>
      </c>
      <c r="D49" t="inlineStr">
        <is>
          <t>Saúde</t>
        </is>
      </c>
      <c r="E49" t="inlineStr">
        <is>
          <t>SP</t>
        </is>
      </c>
      <c r="F49" s="12" t="n">
        <v>16616.32</v>
      </c>
      <c r="G49" s="23" t="n">
        <v>46049</v>
      </c>
      <c r="H49" s="9" t="n">
        <v>4</v>
      </c>
      <c r="I49" t="inlineStr">
        <is>
          <t>Sem garantia</t>
        </is>
      </c>
      <c r="J49" s="12" t="n">
        <v>0</v>
      </c>
      <c r="K49" s="10" t="n">
        <v>1</v>
      </c>
    </row>
    <row r="50">
      <c r="A50" s="23" t="n">
        <v>46053</v>
      </c>
      <c r="B50" t="inlineStr">
        <is>
          <t>CR00047</t>
        </is>
      </c>
      <c r="C50" t="inlineStr">
        <is>
          <t>DEV026</t>
        </is>
      </c>
      <c r="D50" t="inlineStr">
        <is>
          <t>Saúde</t>
        </is>
      </c>
      <c r="E50" t="inlineStr">
        <is>
          <t>SP</t>
        </is>
      </c>
      <c r="F50" s="12" t="n">
        <v>61689.75</v>
      </c>
      <c r="G50" s="23" t="n">
        <v>46018</v>
      </c>
      <c r="H50" s="9" t="n">
        <v>35</v>
      </c>
      <c r="I50" t="inlineStr">
        <is>
          <t>Sem garantia</t>
        </is>
      </c>
      <c r="J50" s="12" t="n">
        <v>0</v>
      </c>
      <c r="K50" s="10" t="n">
        <v>1</v>
      </c>
    </row>
    <row r="51">
      <c r="A51" s="23" t="n">
        <v>46053</v>
      </c>
      <c r="B51" t="inlineStr">
        <is>
          <t>CR00048</t>
        </is>
      </c>
      <c r="C51" t="inlineStr">
        <is>
          <t>DEV028</t>
        </is>
      </c>
      <c r="D51" t="inlineStr">
        <is>
          <t>Saúde</t>
        </is>
      </c>
      <c r="E51" t="inlineStr">
        <is>
          <t>PR</t>
        </is>
      </c>
      <c r="F51" s="12" t="n">
        <v>188821.43</v>
      </c>
      <c r="G51" s="23" t="n">
        <v>46053</v>
      </c>
      <c r="H51" s="9" t="n">
        <v>0</v>
      </c>
      <c r="I51" t="inlineStr">
        <is>
          <t>Cessão fiduciária</t>
        </is>
      </c>
      <c r="J51" s="12" t="n">
        <v>181295.38</v>
      </c>
      <c r="K51" s="10" t="n">
        <v>0.3</v>
      </c>
    </row>
    <row r="52">
      <c r="A52" s="23" t="n">
        <v>46053</v>
      </c>
      <c r="B52" t="inlineStr">
        <is>
          <t>CR00049</t>
        </is>
      </c>
      <c r="C52" t="inlineStr">
        <is>
          <t>DEV008</t>
        </is>
      </c>
      <c r="D52" t="inlineStr">
        <is>
          <t>Indústria</t>
        </is>
      </c>
      <c r="E52" t="inlineStr">
        <is>
          <t>RS</t>
        </is>
      </c>
      <c r="F52" s="12" t="n">
        <v>57621.27</v>
      </c>
      <c r="G52" s="23" t="n">
        <v>46014</v>
      </c>
      <c r="H52" s="9" t="n">
        <v>39</v>
      </c>
      <c r="I52" t="inlineStr">
        <is>
          <t>Sem garantia</t>
        </is>
      </c>
      <c r="J52" s="12" t="n">
        <v>0</v>
      </c>
      <c r="K52" s="10" t="n">
        <v>1</v>
      </c>
    </row>
    <row r="53">
      <c r="A53" s="23" t="n">
        <v>46053</v>
      </c>
      <c r="B53" t="inlineStr">
        <is>
          <t>CR00050</t>
        </is>
      </c>
      <c r="C53" t="inlineStr">
        <is>
          <t>DEV012</t>
        </is>
      </c>
      <c r="D53" t="inlineStr">
        <is>
          <t>Comércio</t>
        </is>
      </c>
      <c r="E53" t="inlineStr">
        <is>
          <t>RJ</t>
        </is>
      </c>
      <c r="F53" s="12" t="n">
        <v>35783.32</v>
      </c>
      <c r="G53" s="23" t="n">
        <v>45955</v>
      </c>
      <c r="H53" s="9" t="n">
        <v>98</v>
      </c>
      <c r="I53" t="inlineStr">
        <is>
          <t>Sem garantia</t>
        </is>
      </c>
      <c r="J53" s="12" t="n">
        <v>0</v>
      </c>
      <c r="K53" s="10" t="n">
        <v>1</v>
      </c>
      <c r="L53" t="inlineStr">
        <is>
          <t>Renegociação</t>
        </is>
      </c>
    </row>
    <row r="54">
      <c r="A54" s="23" t="n">
        <v>46053</v>
      </c>
      <c r="B54" t="inlineStr">
        <is>
          <t>CR00051</t>
        </is>
      </c>
      <c r="C54" t="inlineStr">
        <is>
          <t>DEV013</t>
        </is>
      </c>
      <c r="D54" t="inlineStr">
        <is>
          <t>Serviços</t>
        </is>
      </c>
      <c r="E54" t="inlineStr">
        <is>
          <t>CE</t>
        </is>
      </c>
      <c r="F54" s="12" t="n">
        <v>154386.01</v>
      </c>
      <c r="G54" s="23" t="n">
        <v>46042</v>
      </c>
      <c r="H54" s="9" t="n">
        <v>11</v>
      </c>
      <c r="I54" t="inlineStr">
        <is>
          <t>Sem garantia</t>
        </is>
      </c>
      <c r="J54" s="12" t="n">
        <v>0</v>
      </c>
      <c r="K54" s="10" t="n">
        <v>1</v>
      </c>
      <c r="L54" t="inlineStr">
        <is>
          <t>Renegociação</t>
        </is>
      </c>
    </row>
    <row r="55">
      <c r="A55" s="23" t="n">
        <v>46053</v>
      </c>
      <c r="B55" t="inlineStr">
        <is>
          <t>CR00052</t>
        </is>
      </c>
      <c r="C55" t="inlineStr">
        <is>
          <t>DEV025</t>
        </is>
      </c>
      <c r="D55" t="inlineStr">
        <is>
          <t>Comércio</t>
        </is>
      </c>
      <c r="E55" t="inlineStr">
        <is>
          <t>CE</t>
        </is>
      </c>
      <c r="F55" s="12" t="n">
        <v>56521.77</v>
      </c>
      <c r="G55" s="23" t="n">
        <v>46053</v>
      </c>
      <c r="H55" s="9" t="n">
        <v>0</v>
      </c>
      <c r="I55" t="inlineStr">
        <is>
          <t>Sem garantia</t>
        </is>
      </c>
      <c r="J55" s="12" t="n">
        <v>0</v>
      </c>
      <c r="K55" s="10" t="n">
        <v>1</v>
      </c>
    </row>
    <row r="56">
      <c r="A56" s="23" t="n">
        <v>46053</v>
      </c>
      <c r="B56" t="inlineStr">
        <is>
          <t>CR00053</t>
        </is>
      </c>
      <c r="C56" t="inlineStr">
        <is>
          <t>DEV028</t>
        </is>
      </c>
      <c r="D56" t="inlineStr">
        <is>
          <t>Saúde</t>
        </is>
      </c>
      <c r="E56" t="inlineStr">
        <is>
          <t>PR</t>
        </is>
      </c>
      <c r="F56" s="12" t="n">
        <v>52096.88</v>
      </c>
      <c r="G56" s="23" t="n">
        <v>45996</v>
      </c>
      <c r="H56" s="9" t="n">
        <v>57</v>
      </c>
      <c r="I56" t="inlineStr">
        <is>
          <t>Sem garantia</t>
        </is>
      </c>
      <c r="J56" s="12" t="n">
        <v>0</v>
      </c>
      <c r="K56" s="10" t="n">
        <v>1</v>
      </c>
    </row>
    <row r="57">
      <c r="A57" s="23" t="n">
        <v>46053</v>
      </c>
      <c r="B57" t="inlineStr">
        <is>
          <t>CR00054</t>
        </is>
      </c>
      <c r="C57" t="inlineStr">
        <is>
          <t>DEV027</t>
        </is>
      </c>
      <c r="D57" t="inlineStr">
        <is>
          <t>Serviços</t>
        </is>
      </c>
      <c r="E57" t="inlineStr">
        <is>
          <t>CE</t>
        </is>
      </c>
      <c r="F57" s="12" t="n">
        <v>57042.2</v>
      </c>
      <c r="G57" s="23" t="n">
        <v>46006</v>
      </c>
      <c r="H57" s="9" t="n">
        <v>47</v>
      </c>
      <c r="I57" t="inlineStr">
        <is>
          <t>Sem garantia</t>
        </is>
      </c>
      <c r="J57" s="12" t="n">
        <v>0</v>
      </c>
      <c r="K57" s="10" t="n">
        <v>1</v>
      </c>
    </row>
    <row r="58">
      <c r="A58" s="23" t="n">
        <v>46053</v>
      </c>
      <c r="B58" t="inlineStr">
        <is>
          <t>CR00055</t>
        </is>
      </c>
      <c r="C58" t="inlineStr">
        <is>
          <t>DEV008</t>
        </is>
      </c>
      <c r="D58" t="inlineStr">
        <is>
          <t>Indústria</t>
        </is>
      </c>
      <c r="E58" t="inlineStr">
        <is>
          <t>RS</t>
        </is>
      </c>
      <c r="F58" s="12" t="n">
        <v>45277.87</v>
      </c>
      <c r="G58" s="23" t="n">
        <v>46050</v>
      </c>
      <c r="H58" s="9" t="n">
        <v>3</v>
      </c>
      <c r="I58" t="inlineStr">
        <is>
          <t>Fiança</t>
        </is>
      </c>
      <c r="J58" s="12" t="n">
        <v>32003.29</v>
      </c>
      <c r="K58" s="10" t="n">
        <v>0.3</v>
      </c>
      <c r="L58" t="inlineStr">
        <is>
          <t>Alongamento</t>
        </is>
      </c>
    </row>
    <row r="59">
      <c r="A59" s="23" t="n">
        <v>46053</v>
      </c>
      <c r="B59" t="inlineStr">
        <is>
          <t>CR00056</t>
        </is>
      </c>
      <c r="C59" t="inlineStr">
        <is>
          <t>DEV007</t>
        </is>
      </c>
      <c r="D59" t="inlineStr">
        <is>
          <t>Serviços</t>
        </is>
      </c>
      <c r="E59" t="inlineStr">
        <is>
          <t>MG</t>
        </is>
      </c>
      <c r="F59" s="12" t="n">
        <v>40713.47</v>
      </c>
      <c r="G59" s="23" t="n">
        <v>46053</v>
      </c>
      <c r="H59" s="9" t="n">
        <v>0</v>
      </c>
      <c r="I59" t="inlineStr">
        <is>
          <t>Sem garantia</t>
        </is>
      </c>
      <c r="J59" s="12" t="n">
        <v>0</v>
      </c>
      <c r="K59" s="10" t="n">
        <v>1</v>
      </c>
    </row>
    <row r="60">
      <c r="A60" s="23" t="n">
        <v>46053</v>
      </c>
      <c r="B60" t="inlineStr">
        <is>
          <t>CR00057</t>
        </is>
      </c>
      <c r="C60" t="inlineStr">
        <is>
          <t>DEV021</t>
        </is>
      </c>
      <c r="D60" t="inlineStr">
        <is>
          <t>Agro</t>
        </is>
      </c>
      <c r="E60" t="inlineStr">
        <is>
          <t>SC</t>
        </is>
      </c>
      <c r="F60" s="12" t="n">
        <v>20723.47</v>
      </c>
      <c r="G60" s="23" t="n">
        <v>45833</v>
      </c>
      <c r="H60" s="9" t="n">
        <v>220</v>
      </c>
      <c r="I60" t="inlineStr">
        <is>
          <t>Reserva de domínio</t>
        </is>
      </c>
      <c r="J60" s="12" t="n">
        <v>13276.02</v>
      </c>
      <c r="K60" s="10" t="n">
        <v>0.6</v>
      </c>
      <c r="L60" t="inlineStr">
        <is>
          <t>Alongamento</t>
        </is>
      </c>
    </row>
    <row r="61">
      <c r="A61" s="23" t="n">
        <v>46053</v>
      </c>
      <c r="B61" t="inlineStr">
        <is>
          <t>CR00058</t>
        </is>
      </c>
      <c r="C61" t="inlineStr">
        <is>
          <t>DEV013</t>
        </is>
      </c>
      <c r="D61" t="inlineStr">
        <is>
          <t>Serviços</t>
        </is>
      </c>
      <c r="E61" t="inlineStr">
        <is>
          <t>CE</t>
        </is>
      </c>
      <c r="F61" s="12" t="n">
        <v>66235.67</v>
      </c>
      <c r="G61" s="23" t="n">
        <v>45798</v>
      </c>
      <c r="H61" s="9" t="n">
        <v>255</v>
      </c>
      <c r="I61" t="inlineStr">
        <is>
          <t>Sem garantia</t>
        </is>
      </c>
      <c r="J61" s="12" t="n">
        <v>0</v>
      </c>
      <c r="K61" s="10" t="n">
        <v>1</v>
      </c>
    </row>
    <row r="62">
      <c r="A62" s="23" t="n">
        <v>46053</v>
      </c>
      <c r="B62" t="inlineStr">
        <is>
          <t>CR00059</t>
        </is>
      </c>
      <c r="C62" t="inlineStr">
        <is>
          <t>DEV026</t>
        </is>
      </c>
      <c r="D62" t="inlineStr">
        <is>
          <t>Saúde</t>
        </is>
      </c>
      <c r="E62" t="inlineStr">
        <is>
          <t>SP</t>
        </is>
      </c>
      <c r="F62" s="12" t="n">
        <v>46311</v>
      </c>
      <c r="G62" s="23" t="n">
        <v>46053</v>
      </c>
      <c r="H62" s="9" t="n">
        <v>0</v>
      </c>
      <c r="I62" t="inlineStr">
        <is>
          <t>Sem garantia</t>
        </is>
      </c>
      <c r="J62" s="12" t="n">
        <v>0</v>
      </c>
      <c r="K62" s="10" t="n">
        <v>1</v>
      </c>
    </row>
    <row r="63">
      <c r="A63" s="23" t="n">
        <v>46053</v>
      </c>
      <c r="B63" t="inlineStr">
        <is>
          <t>CR00060</t>
        </is>
      </c>
      <c r="C63" t="inlineStr">
        <is>
          <t>DEV014</t>
        </is>
      </c>
      <c r="D63" t="inlineStr">
        <is>
          <t>Serviços</t>
        </is>
      </c>
      <c r="E63" t="inlineStr">
        <is>
          <t>RS</t>
        </is>
      </c>
      <c r="F63" s="12" t="n">
        <v>100293.04</v>
      </c>
      <c r="G63" s="23" t="n">
        <v>46044</v>
      </c>
      <c r="H63" s="9" t="n">
        <v>9</v>
      </c>
      <c r="I63" t="inlineStr">
        <is>
          <t>Cessão fiduciária</t>
        </is>
      </c>
      <c r="J63" s="12" t="n">
        <v>73322.92999999999</v>
      </c>
      <c r="K63" s="10" t="n">
        <v>0.4</v>
      </c>
    </row>
    <row r="64">
      <c r="A64" s="23" t="n">
        <v>46053</v>
      </c>
      <c r="B64" t="inlineStr">
        <is>
          <t>CR00061</t>
        </is>
      </c>
      <c r="C64" t="inlineStr">
        <is>
          <t>DEV014</t>
        </is>
      </c>
      <c r="D64" t="inlineStr">
        <is>
          <t>Serviços</t>
        </is>
      </c>
      <c r="E64" t="inlineStr">
        <is>
          <t>RS</t>
        </is>
      </c>
      <c r="F64" s="12" t="n">
        <v>39289.36</v>
      </c>
      <c r="G64" s="23" t="n">
        <v>46053</v>
      </c>
      <c r="H64" s="9" t="n">
        <v>0</v>
      </c>
      <c r="I64" t="inlineStr">
        <is>
          <t>Fiança</t>
        </is>
      </c>
      <c r="J64" s="12" t="n">
        <v>27119.02</v>
      </c>
      <c r="K64" s="10" t="n">
        <v>0.3</v>
      </c>
    </row>
    <row r="65">
      <c r="A65" s="23" t="n">
        <v>46053</v>
      </c>
      <c r="B65" t="inlineStr">
        <is>
          <t>CR00062</t>
        </is>
      </c>
      <c r="C65" t="inlineStr">
        <is>
          <t>DEV008</t>
        </is>
      </c>
      <c r="D65" t="inlineStr">
        <is>
          <t>Indústria</t>
        </is>
      </c>
      <c r="E65" t="inlineStr">
        <is>
          <t>RS</t>
        </is>
      </c>
      <c r="F65" s="12" t="n">
        <v>15617.98</v>
      </c>
      <c r="G65" s="23" t="n">
        <v>45779</v>
      </c>
      <c r="H65" s="9" t="n">
        <v>274</v>
      </c>
      <c r="I65" t="inlineStr">
        <is>
          <t>Alienação fiduciária</t>
        </is>
      </c>
      <c r="J65" s="12" t="n">
        <v>18982.55</v>
      </c>
      <c r="K65" s="10" t="n">
        <v>0.5</v>
      </c>
      <c r="L65" t="inlineStr">
        <is>
          <t>Alongamento</t>
        </is>
      </c>
    </row>
    <row r="66">
      <c r="A66" s="23" t="n">
        <v>46053</v>
      </c>
      <c r="B66" t="inlineStr">
        <is>
          <t>CR00063</t>
        </is>
      </c>
      <c r="C66" t="inlineStr">
        <is>
          <t>DEV023</t>
        </is>
      </c>
      <c r="D66" t="inlineStr">
        <is>
          <t>Saúde</t>
        </is>
      </c>
      <c r="E66" t="inlineStr">
        <is>
          <t>PE</t>
        </is>
      </c>
      <c r="F66" s="12" t="n">
        <v>46176.84</v>
      </c>
      <c r="G66" s="23" t="n">
        <v>45988</v>
      </c>
      <c r="H66" s="9" t="n">
        <v>65</v>
      </c>
      <c r="I66" t="inlineStr">
        <is>
          <t>Sem garantia</t>
        </is>
      </c>
      <c r="J66" s="12" t="n">
        <v>0</v>
      </c>
      <c r="K66" s="10" t="n">
        <v>1</v>
      </c>
    </row>
    <row r="67">
      <c r="A67" s="23" t="n">
        <v>46053</v>
      </c>
      <c r="B67" t="inlineStr">
        <is>
          <t>CR00064</t>
        </is>
      </c>
      <c r="C67" t="inlineStr">
        <is>
          <t>DEV008</t>
        </is>
      </c>
      <c r="D67" t="inlineStr">
        <is>
          <t>Indústria</t>
        </is>
      </c>
      <c r="E67" t="inlineStr">
        <is>
          <t>RS</t>
        </is>
      </c>
      <c r="F67" s="12" t="n">
        <v>135906.49</v>
      </c>
      <c r="G67" s="23" t="n">
        <v>46052</v>
      </c>
      <c r="H67" s="9" t="n">
        <v>1</v>
      </c>
      <c r="I67" t="inlineStr">
        <is>
          <t>Fiança</t>
        </is>
      </c>
      <c r="J67" s="12" t="n">
        <v>160597.36</v>
      </c>
      <c r="K67" s="10" t="n">
        <v>0.6</v>
      </c>
    </row>
    <row r="68">
      <c r="A68" s="23" t="n">
        <v>46053</v>
      </c>
      <c r="B68" t="inlineStr">
        <is>
          <t>CR00065</t>
        </is>
      </c>
      <c r="C68" t="inlineStr">
        <is>
          <t>DEV013</t>
        </is>
      </c>
      <c r="D68" t="inlineStr">
        <is>
          <t>Serviços</t>
        </is>
      </c>
      <c r="E68" t="inlineStr">
        <is>
          <t>CE</t>
        </is>
      </c>
      <c r="F68" s="12" t="n">
        <v>38946.58</v>
      </c>
      <c r="G68" s="23" t="n">
        <v>46002</v>
      </c>
      <c r="H68" s="9" t="n">
        <v>51</v>
      </c>
      <c r="I68" t="inlineStr">
        <is>
          <t>Alienação fiduciária</t>
        </is>
      </c>
      <c r="J68" s="12" t="n">
        <v>34746.69</v>
      </c>
      <c r="K68" s="10" t="n">
        <v>0.4</v>
      </c>
    </row>
    <row r="69">
      <c r="A69" s="23" t="n">
        <v>46053</v>
      </c>
      <c r="B69" t="inlineStr">
        <is>
          <t>CR00066</t>
        </is>
      </c>
      <c r="C69" t="inlineStr">
        <is>
          <t>DEV023</t>
        </is>
      </c>
      <c r="D69" t="inlineStr">
        <is>
          <t>Saúde</t>
        </is>
      </c>
      <c r="E69" t="inlineStr">
        <is>
          <t>PE</t>
        </is>
      </c>
      <c r="F69" s="12" t="n">
        <v>28741.17</v>
      </c>
      <c r="G69" s="23" t="n">
        <v>46053</v>
      </c>
      <c r="H69" s="9" t="n">
        <v>0</v>
      </c>
      <c r="I69" t="inlineStr">
        <is>
          <t>Sem garantia</t>
        </is>
      </c>
      <c r="J69" s="12" t="n">
        <v>0</v>
      </c>
      <c r="K69" s="10" t="n">
        <v>1</v>
      </c>
    </row>
    <row r="70">
      <c r="A70" s="23" t="n">
        <v>46053</v>
      </c>
      <c r="B70" t="inlineStr">
        <is>
          <t>CR00067</t>
        </is>
      </c>
      <c r="C70" t="inlineStr">
        <is>
          <t>DEV008</t>
        </is>
      </c>
      <c r="D70" t="inlineStr">
        <is>
          <t>Indústria</t>
        </is>
      </c>
      <c r="E70" t="inlineStr">
        <is>
          <t>RS</t>
        </is>
      </c>
      <c r="F70" s="12" t="n">
        <v>23952.9</v>
      </c>
      <c r="G70" s="23" t="n">
        <v>46053</v>
      </c>
      <c r="H70" s="9" t="n">
        <v>0</v>
      </c>
      <c r="I70" t="inlineStr">
        <is>
          <t>Sem garantia</t>
        </is>
      </c>
      <c r="J70" s="12" t="n">
        <v>0</v>
      </c>
      <c r="K70" s="10" t="n">
        <v>1</v>
      </c>
    </row>
    <row r="71">
      <c r="A71" s="23" t="n">
        <v>46053</v>
      </c>
      <c r="B71" t="inlineStr">
        <is>
          <t>CR00068</t>
        </is>
      </c>
      <c r="C71" t="inlineStr">
        <is>
          <t>DEV012</t>
        </is>
      </c>
      <c r="D71" t="inlineStr">
        <is>
          <t>Comércio</t>
        </is>
      </c>
      <c r="E71" t="inlineStr">
        <is>
          <t>RJ</t>
        </is>
      </c>
      <c r="F71" s="12" t="n">
        <v>26107.81</v>
      </c>
      <c r="G71" s="23" t="n">
        <v>46053</v>
      </c>
      <c r="H71" s="9" t="n">
        <v>0</v>
      </c>
      <c r="I71" t="inlineStr">
        <is>
          <t>Cessão fiduciária</t>
        </is>
      </c>
      <c r="J71" s="12" t="n">
        <v>26245.21</v>
      </c>
      <c r="K71" s="10" t="n">
        <v>0.4</v>
      </c>
    </row>
    <row r="72">
      <c r="A72" s="23" t="n">
        <v>46053</v>
      </c>
      <c r="B72" t="inlineStr">
        <is>
          <t>CR00069</t>
        </is>
      </c>
      <c r="C72" t="inlineStr">
        <is>
          <t>DEV002</t>
        </is>
      </c>
      <c r="D72" t="inlineStr">
        <is>
          <t>Comércio</t>
        </is>
      </c>
      <c r="E72" t="inlineStr">
        <is>
          <t>BA</t>
        </is>
      </c>
      <c r="F72" s="12" t="n">
        <v>40940.86</v>
      </c>
      <c r="G72" s="23" t="n">
        <v>46035</v>
      </c>
      <c r="H72" s="9" t="n">
        <v>18</v>
      </c>
      <c r="I72" t="inlineStr">
        <is>
          <t>Sem garantia</t>
        </is>
      </c>
      <c r="J72" s="12" t="n">
        <v>0</v>
      </c>
      <c r="K72" s="10" t="n">
        <v>1</v>
      </c>
    </row>
    <row r="73">
      <c r="A73" s="23" t="n">
        <v>46053</v>
      </c>
      <c r="B73" t="inlineStr">
        <is>
          <t>CR00070</t>
        </is>
      </c>
      <c r="C73" t="inlineStr">
        <is>
          <t>DEV025</t>
        </is>
      </c>
      <c r="D73" t="inlineStr">
        <is>
          <t>Comércio</t>
        </is>
      </c>
      <c r="E73" t="inlineStr">
        <is>
          <t>CE</t>
        </is>
      </c>
      <c r="F73" s="12" t="n">
        <v>24149.3</v>
      </c>
      <c r="G73" s="23" t="n">
        <v>46053</v>
      </c>
      <c r="H73" s="9" t="n">
        <v>0</v>
      </c>
      <c r="I73" t="inlineStr">
        <is>
          <t>Alienação fiduciária</t>
        </is>
      </c>
      <c r="J73" s="12" t="n">
        <v>22265.44</v>
      </c>
      <c r="K73" s="10" t="n">
        <v>0.6</v>
      </c>
    </row>
    <row r="74">
      <c r="A74" s="23" t="n">
        <v>46053</v>
      </c>
      <c r="B74" t="inlineStr">
        <is>
          <t>CR00071</t>
        </is>
      </c>
      <c r="C74" t="inlineStr">
        <is>
          <t>DEV015</t>
        </is>
      </c>
      <c r="D74" t="inlineStr">
        <is>
          <t>Agro</t>
        </is>
      </c>
      <c r="E74" t="inlineStr">
        <is>
          <t>PE</t>
        </is>
      </c>
      <c r="F74" s="12" t="n">
        <v>120401.04</v>
      </c>
      <c r="G74" s="23" t="n">
        <v>45875</v>
      </c>
      <c r="H74" s="9" t="n">
        <v>178</v>
      </c>
      <c r="I74" t="inlineStr">
        <is>
          <t>Cessão fiduciária</t>
        </is>
      </c>
      <c r="J74" s="12" t="n">
        <v>137670.98</v>
      </c>
      <c r="K74" s="10" t="n">
        <v>0.4</v>
      </c>
    </row>
    <row r="75">
      <c r="A75" s="23" t="n">
        <v>46053</v>
      </c>
      <c r="B75" t="inlineStr">
        <is>
          <t>CR00072</t>
        </is>
      </c>
      <c r="C75" t="inlineStr">
        <is>
          <t>DEV020</t>
        </is>
      </c>
      <c r="D75" t="inlineStr">
        <is>
          <t>Saúde</t>
        </is>
      </c>
      <c r="E75" t="inlineStr">
        <is>
          <t>PR</t>
        </is>
      </c>
      <c r="F75" s="12" t="n">
        <v>41374.45</v>
      </c>
      <c r="G75" s="23" t="n">
        <v>46032</v>
      </c>
      <c r="H75" s="9" t="n">
        <v>21</v>
      </c>
      <c r="I75" t="inlineStr">
        <is>
          <t>Alienação fiduciária</t>
        </is>
      </c>
      <c r="J75" s="12" t="n">
        <v>34770.97</v>
      </c>
      <c r="K75" s="10" t="n">
        <v>0.3</v>
      </c>
    </row>
    <row r="76">
      <c r="A76" s="23" t="n">
        <v>46053</v>
      </c>
      <c r="B76" t="inlineStr">
        <is>
          <t>CR00073</t>
        </is>
      </c>
      <c r="C76" t="inlineStr">
        <is>
          <t>DEV009</t>
        </is>
      </c>
      <c r="D76" t="inlineStr">
        <is>
          <t>Saúde</t>
        </is>
      </c>
      <c r="E76" t="inlineStr">
        <is>
          <t>BA</t>
        </is>
      </c>
      <c r="F76" s="12" t="n">
        <v>52322.88</v>
      </c>
      <c r="G76" s="23" t="n">
        <v>46053</v>
      </c>
      <c r="H76" s="9" t="n">
        <v>0</v>
      </c>
      <c r="I76" t="inlineStr">
        <is>
          <t>Sem garantia</t>
        </is>
      </c>
      <c r="J76" s="12" t="n">
        <v>0</v>
      </c>
      <c r="K76" s="10" t="n">
        <v>1</v>
      </c>
    </row>
    <row r="77">
      <c r="A77" s="23" t="n">
        <v>46053</v>
      </c>
      <c r="B77" t="inlineStr">
        <is>
          <t>CR00074</t>
        </is>
      </c>
      <c r="C77" t="inlineStr">
        <is>
          <t>DEV020</t>
        </is>
      </c>
      <c r="D77" t="inlineStr">
        <is>
          <t>Saúde</t>
        </is>
      </c>
      <c r="E77" t="inlineStr">
        <is>
          <t>PR</t>
        </is>
      </c>
      <c r="F77" s="12" t="n">
        <v>116185.54</v>
      </c>
      <c r="G77" s="23" t="n">
        <v>46053</v>
      </c>
      <c r="H77" s="9" t="n">
        <v>0</v>
      </c>
      <c r="I77" t="inlineStr">
        <is>
          <t>Sem garantia</t>
        </is>
      </c>
      <c r="J77" s="12" t="n">
        <v>0</v>
      </c>
      <c r="K77" s="10" t="n">
        <v>1</v>
      </c>
    </row>
    <row r="78">
      <c r="A78" s="23" t="n">
        <v>46053</v>
      </c>
      <c r="B78" t="inlineStr">
        <is>
          <t>CR00075</t>
        </is>
      </c>
      <c r="C78" t="inlineStr">
        <is>
          <t>DEV001</t>
        </is>
      </c>
      <c r="D78" t="inlineStr">
        <is>
          <t>Indústria</t>
        </is>
      </c>
      <c r="E78" t="inlineStr">
        <is>
          <t>CE</t>
        </is>
      </c>
      <c r="F78" s="12" t="n">
        <v>120812.03</v>
      </c>
      <c r="G78" s="23" t="n">
        <v>45994</v>
      </c>
      <c r="H78" s="9" t="n">
        <v>59</v>
      </c>
      <c r="I78" t="inlineStr">
        <is>
          <t>Sem garantia</t>
        </is>
      </c>
      <c r="J78" s="12" t="n">
        <v>0</v>
      </c>
      <c r="K78" s="10" t="n">
        <v>1</v>
      </c>
      <c r="L78" t="inlineStr">
        <is>
          <t>Alongamento</t>
        </is>
      </c>
    </row>
    <row r="79">
      <c r="A79" s="23" t="n">
        <v>46053</v>
      </c>
      <c r="B79" t="inlineStr">
        <is>
          <t>CR00076</t>
        </is>
      </c>
      <c r="C79" t="inlineStr">
        <is>
          <t>DEV009</t>
        </is>
      </c>
      <c r="D79" t="inlineStr">
        <is>
          <t>Saúde</t>
        </is>
      </c>
      <c r="E79" t="inlineStr">
        <is>
          <t>BA</t>
        </is>
      </c>
      <c r="F79" s="12" t="n">
        <v>43146.66</v>
      </c>
      <c r="G79" s="23" t="n">
        <v>45963</v>
      </c>
      <c r="H79" s="9" t="n">
        <v>90</v>
      </c>
      <c r="I79" t="inlineStr">
        <is>
          <t>Sem garantia</t>
        </is>
      </c>
      <c r="J79" s="12" t="n">
        <v>0</v>
      </c>
      <c r="K79" s="10" t="n">
        <v>1</v>
      </c>
    </row>
    <row r="80">
      <c r="A80" s="23" t="n">
        <v>46053</v>
      </c>
      <c r="B80" t="inlineStr">
        <is>
          <t>CR00077</t>
        </is>
      </c>
      <c r="C80" t="inlineStr">
        <is>
          <t>DEV014</t>
        </is>
      </c>
      <c r="D80" t="inlineStr">
        <is>
          <t>Serviços</t>
        </is>
      </c>
      <c r="E80" t="inlineStr">
        <is>
          <t>RS</t>
        </is>
      </c>
      <c r="F80" s="12" t="n">
        <v>59825.34</v>
      </c>
      <c r="G80" s="23" t="n">
        <v>46027</v>
      </c>
      <c r="H80" s="9" t="n">
        <v>26</v>
      </c>
      <c r="I80" t="inlineStr">
        <is>
          <t>Cessão fiduciária</t>
        </is>
      </c>
      <c r="J80" s="12" t="n">
        <v>65223.1</v>
      </c>
      <c r="K80" s="10" t="n">
        <v>0.3</v>
      </c>
      <c r="L80" t="inlineStr">
        <is>
          <t>Alongamento</t>
        </is>
      </c>
    </row>
    <row r="81">
      <c r="A81" s="23" t="n">
        <v>46053</v>
      </c>
      <c r="B81" t="inlineStr">
        <is>
          <t>CR00078</t>
        </is>
      </c>
      <c r="C81" t="inlineStr">
        <is>
          <t>DEV028</t>
        </is>
      </c>
      <c r="D81" t="inlineStr">
        <is>
          <t>Saúde</t>
        </is>
      </c>
      <c r="E81" t="inlineStr">
        <is>
          <t>PR</t>
        </is>
      </c>
      <c r="F81" s="12" t="n">
        <v>76192.32000000001</v>
      </c>
      <c r="G81" s="23" t="n">
        <v>46053</v>
      </c>
      <c r="H81" s="9" t="n">
        <v>0</v>
      </c>
      <c r="I81" t="inlineStr">
        <is>
          <t>Reserva de domínio</t>
        </is>
      </c>
      <c r="J81" s="12" t="n">
        <v>79336.12</v>
      </c>
      <c r="K81" s="10" t="n">
        <v>0.3</v>
      </c>
    </row>
    <row r="82">
      <c r="A82" s="23" t="n">
        <v>46053</v>
      </c>
      <c r="B82" t="inlineStr">
        <is>
          <t>CR00079</t>
        </is>
      </c>
      <c r="C82" t="inlineStr">
        <is>
          <t>DEV016</t>
        </is>
      </c>
      <c r="D82" t="inlineStr">
        <is>
          <t>Agro</t>
        </is>
      </c>
      <c r="E82" t="inlineStr">
        <is>
          <t>MG</t>
        </is>
      </c>
      <c r="F82" s="12" t="n">
        <v>43664.33</v>
      </c>
      <c r="G82" s="23" t="n">
        <v>46006</v>
      </c>
      <c r="H82" s="9" t="n">
        <v>47</v>
      </c>
      <c r="I82" t="inlineStr">
        <is>
          <t>Sem garantia</t>
        </is>
      </c>
      <c r="J82" s="12" t="n">
        <v>0</v>
      </c>
      <c r="K82" s="10" t="n">
        <v>1</v>
      </c>
    </row>
    <row r="83">
      <c r="A83" s="23" t="n">
        <v>46053</v>
      </c>
      <c r="B83" t="inlineStr">
        <is>
          <t>CR00080</t>
        </is>
      </c>
      <c r="C83" t="inlineStr">
        <is>
          <t>DEV012</t>
        </is>
      </c>
      <c r="D83" t="inlineStr">
        <is>
          <t>Comércio</t>
        </is>
      </c>
      <c r="E83" t="inlineStr">
        <is>
          <t>RJ</t>
        </is>
      </c>
      <c r="F83" s="12" t="n">
        <v>16868.31</v>
      </c>
      <c r="G83" s="23" t="n">
        <v>46053</v>
      </c>
      <c r="H83" s="9" t="n">
        <v>0</v>
      </c>
      <c r="I83" t="inlineStr">
        <is>
          <t>Sem garantia</t>
        </is>
      </c>
      <c r="J83" s="12" t="n">
        <v>0</v>
      </c>
      <c r="K83" s="10" t="n">
        <v>1</v>
      </c>
    </row>
    <row r="84">
      <c r="A84" s="23" t="n">
        <v>46053</v>
      </c>
      <c r="B84" t="inlineStr">
        <is>
          <t>CR00081</t>
        </is>
      </c>
      <c r="C84" t="inlineStr">
        <is>
          <t>DEV028</t>
        </is>
      </c>
      <c r="D84" t="inlineStr">
        <is>
          <t>Saúde</t>
        </is>
      </c>
      <c r="E84" t="inlineStr">
        <is>
          <t>PR</t>
        </is>
      </c>
      <c r="F84" s="12" t="n">
        <v>72607.49000000001</v>
      </c>
      <c r="G84" s="23" t="n">
        <v>45975</v>
      </c>
      <c r="H84" s="9" t="n">
        <v>78</v>
      </c>
      <c r="I84" t="inlineStr">
        <is>
          <t>Sem garantia</t>
        </is>
      </c>
      <c r="J84" s="12" t="n">
        <v>0</v>
      </c>
      <c r="K84" s="10" t="n">
        <v>1</v>
      </c>
    </row>
    <row r="85">
      <c r="A85" s="23" t="n">
        <v>46053</v>
      </c>
      <c r="B85" t="inlineStr">
        <is>
          <t>CR00082</t>
        </is>
      </c>
      <c r="C85" t="inlineStr">
        <is>
          <t>DEV013</t>
        </is>
      </c>
      <c r="D85" t="inlineStr">
        <is>
          <t>Serviços</t>
        </is>
      </c>
      <c r="E85" t="inlineStr">
        <is>
          <t>CE</t>
        </is>
      </c>
      <c r="F85" s="12" t="n">
        <v>83835.46000000001</v>
      </c>
      <c r="G85" s="23" t="n">
        <v>46036</v>
      </c>
      <c r="H85" s="9" t="n">
        <v>17</v>
      </c>
      <c r="I85" t="inlineStr">
        <is>
          <t>Sem garantia</t>
        </is>
      </c>
      <c r="J85" s="12" t="n">
        <v>0</v>
      </c>
      <c r="K85" s="10" t="n">
        <v>1</v>
      </c>
      <c r="L85" t="inlineStr">
        <is>
          <t>Substituição</t>
        </is>
      </c>
    </row>
    <row r="86">
      <c r="A86" s="23" t="n">
        <v>46053</v>
      </c>
      <c r="B86" t="inlineStr">
        <is>
          <t>CR00083</t>
        </is>
      </c>
      <c r="C86" t="inlineStr">
        <is>
          <t>DEV026</t>
        </is>
      </c>
      <c r="D86" t="inlineStr">
        <is>
          <t>Saúde</t>
        </is>
      </c>
      <c r="E86" t="inlineStr">
        <is>
          <t>SP</t>
        </is>
      </c>
      <c r="F86" s="12" t="n">
        <v>62900.01</v>
      </c>
      <c r="G86" s="23" t="n">
        <v>46053</v>
      </c>
      <c r="H86" s="9" t="n">
        <v>0</v>
      </c>
      <c r="I86" t="inlineStr">
        <is>
          <t>Fiança</t>
        </is>
      </c>
      <c r="J86" s="12" t="n">
        <v>75152.06</v>
      </c>
      <c r="K86" s="10" t="n">
        <v>0.3</v>
      </c>
    </row>
    <row r="87">
      <c r="A87" s="23" t="n">
        <v>46053</v>
      </c>
      <c r="B87" t="inlineStr">
        <is>
          <t>CR00084</t>
        </is>
      </c>
      <c r="C87" t="inlineStr">
        <is>
          <t>DEV002</t>
        </is>
      </c>
      <c r="D87" t="inlineStr">
        <is>
          <t>Comércio</t>
        </is>
      </c>
      <c r="E87" t="inlineStr">
        <is>
          <t>BA</t>
        </is>
      </c>
      <c r="F87" s="12" t="n">
        <v>28166.07</v>
      </c>
      <c r="G87" s="23" t="n">
        <v>46042</v>
      </c>
      <c r="H87" s="9" t="n">
        <v>11</v>
      </c>
      <c r="I87" t="inlineStr">
        <is>
          <t>Sem garantia</t>
        </is>
      </c>
      <c r="J87" s="12" t="n">
        <v>0</v>
      </c>
      <c r="K87" s="10" t="n">
        <v>1</v>
      </c>
    </row>
    <row r="88">
      <c r="A88" s="23" t="n">
        <v>46053</v>
      </c>
      <c r="B88" t="inlineStr">
        <is>
          <t>CR00085</t>
        </is>
      </c>
      <c r="C88" t="inlineStr">
        <is>
          <t>DEV027</t>
        </is>
      </c>
      <c r="D88" t="inlineStr">
        <is>
          <t>Serviços</t>
        </is>
      </c>
      <c r="E88" t="inlineStr">
        <is>
          <t>CE</t>
        </is>
      </c>
      <c r="F88" s="12" t="n">
        <v>43581.31</v>
      </c>
      <c r="G88" s="23" t="n">
        <v>46030</v>
      </c>
      <c r="H88" s="9" t="n">
        <v>23</v>
      </c>
      <c r="I88" t="inlineStr">
        <is>
          <t>Sem garantia</t>
        </is>
      </c>
      <c r="J88" s="12" t="n">
        <v>0</v>
      </c>
      <c r="K88" s="10" t="n">
        <v>1</v>
      </c>
    </row>
    <row r="89">
      <c r="A89" s="23" t="n">
        <v>46053</v>
      </c>
      <c r="B89" t="inlineStr">
        <is>
          <t>CR00086</t>
        </is>
      </c>
      <c r="C89" t="inlineStr">
        <is>
          <t>DEV020</t>
        </is>
      </c>
      <c r="D89" t="inlineStr">
        <is>
          <t>Saúde</t>
        </is>
      </c>
      <c r="E89" t="inlineStr">
        <is>
          <t>PR</t>
        </is>
      </c>
      <c r="F89" s="12" t="n">
        <v>34390.58</v>
      </c>
      <c r="G89" s="23" t="n">
        <v>46053</v>
      </c>
      <c r="H89" s="9" t="n">
        <v>0</v>
      </c>
      <c r="I89" t="inlineStr">
        <is>
          <t>Sem garantia</t>
        </is>
      </c>
      <c r="J89" s="12" t="n">
        <v>0</v>
      </c>
      <c r="K89" s="10" t="n">
        <v>1</v>
      </c>
      <c r="L89" t="inlineStr">
        <is>
          <t>Substituição</t>
        </is>
      </c>
    </row>
    <row r="90">
      <c r="A90" s="23" t="n">
        <v>46053</v>
      </c>
      <c r="B90" t="inlineStr">
        <is>
          <t>CR00087</t>
        </is>
      </c>
      <c r="C90" t="inlineStr">
        <is>
          <t>DEV010</t>
        </is>
      </c>
      <c r="D90" t="inlineStr">
        <is>
          <t>Serviços</t>
        </is>
      </c>
      <c r="E90" t="inlineStr">
        <is>
          <t>MG</t>
        </is>
      </c>
      <c r="F90" s="12" t="n">
        <v>40952.71</v>
      </c>
      <c r="G90" s="23" t="n">
        <v>45974</v>
      </c>
      <c r="H90" s="9" t="n">
        <v>79</v>
      </c>
      <c r="I90" t="inlineStr">
        <is>
          <t>Alienação fiduciária</t>
        </is>
      </c>
      <c r="J90" s="12" t="n">
        <v>48119.07</v>
      </c>
      <c r="K90" s="10" t="n">
        <v>0.3</v>
      </c>
    </row>
    <row r="91">
      <c r="A91" s="23" t="n">
        <v>46053</v>
      </c>
      <c r="B91" t="inlineStr">
        <is>
          <t>CR00088</t>
        </is>
      </c>
      <c r="C91" t="inlineStr">
        <is>
          <t>DEV027</t>
        </is>
      </c>
      <c r="D91" t="inlineStr">
        <is>
          <t>Serviços</t>
        </is>
      </c>
      <c r="E91" t="inlineStr">
        <is>
          <t>CE</t>
        </is>
      </c>
      <c r="F91" s="12" t="n">
        <v>106737.85</v>
      </c>
      <c r="G91" s="23" t="n">
        <v>46053</v>
      </c>
      <c r="H91" s="9" t="n">
        <v>0</v>
      </c>
      <c r="I91" t="inlineStr">
        <is>
          <t>Sem garantia</t>
        </is>
      </c>
      <c r="J91" s="12" t="n">
        <v>0</v>
      </c>
      <c r="K91" s="10" t="n">
        <v>1</v>
      </c>
      <c r="L91" t="inlineStr">
        <is>
          <t>Recompra</t>
        </is>
      </c>
    </row>
    <row r="92">
      <c r="A92" s="23" t="n">
        <v>46053</v>
      </c>
      <c r="B92" t="inlineStr">
        <is>
          <t>CR00089</t>
        </is>
      </c>
      <c r="C92" t="inlineStr">
        <is>
          <t>DEV008</t>
        </is>
      </c>
      <c r="D92" t="inlineStr">
        <is>
          <t>Indústria</t>
        </is>
      </c>
      <c r="E92" t="inlineStr">
        <is>
          <t>RS</t>
        </is>
      </c>
      <c r="F92" s="12" t="n">
        <v>122730.7</v>
      </c>
      <c r="G92" s="23" t="n">
        <v>45898</v>
      </c>
      <c r="H92" s="9" t="n">
        <v>155</v>
      </c>
      <c r="I92" t="inlineStr">
        <is>
          <t>Sem garantia</t>
        </is>
      </c>
      <c r="J92" s="12" t="n">
        <v>0</v>
      </c>
      <c r="K92" s="10" t="n">
        <v>1</v>
      </c>
      <c r="L92" t="inlineStr">
        <is>
          <t>Substituição</t>
        </is>
      </c>
    </row>
    <row r="93">
      <c r="A93" s="23" t="n">
        <v>46053</v>
      </c>
      <c r="B93" t="inlineStr">
        <is>
          <t>CR00090</t>
        </is>
      </c>
      <c r="C93" t="inlineStr">
        <is>
          <t>DEV011</t>
        </is>
      </c>
      <c r="D93" t="inlineStr">
        <is>
          <t>Saúde</t>
        </is>
      </c>
      <c r="E93" t="inlineStr">
        <is>
          <t>PE</t>
        </is>
      </c>
      <c r="F93" s="12" t="n">
        <v>73251.27</v>
      </c>
      <c r="G93" s="23" t="n">
        <v>45990</v>
      </c>
      <c r="H93" s="9" t="n">
        <v>63</v>
      </c>
      <c r="I93" t="inlineStr">
        <is>
          <t>Sem garantia</t>
        </is>
      </c>
      <c r="J93" s="12" t="n">
        <v>0</v>
      </c>
      <c r="K93" s="10" t="n">
        <v>1</v>
      </c>
    </row>
    <row r="94">
      <c r="A94" s="23" t="n">
        <v>46053</v>
      </c>
      <c r="B94" t="inlineStr">
        <is>
          <t>CR00091</t>
        </is>
      </c>
      <c r="C94" t="inlineStr">
        <is>
          <t>DEV008</t>
        </is>
      </c>
      <c r="D94" t="inlineStr">
        <is>
          <t>Indústria</t>
        </is>
      </c>
      <c r="E94" t="inlineStr">
        <is>
          <t>RS</t>
        </is>
      </c>
      <c r="F94" s="12" t="n">
        <v>68135.05</v>
      </c>
      <c r="G94" s="23" t="n">
        <v>46053</v>
      </c>
      <c r="H94" s="9" t="n">
        <v>0</v>
      </c>
      <c r="I94" t="inlineStr">
        <is>
          <t>Sem garantia</t>
        </is>
      </c>
      <c r="J94" s="12" t="n">
        <v>0</v>
      </c>
      <c r="K94" s="10" t="n">
        <v>1</v>
      </c>
    </row>
    <row r="95">
      <c r="A95" s="23" t="n">
        <v>46053</v>
      </c>
      <c r="B95" t="inlineStr">
        <is>
          <t>CR00092</t>
        </is>
      </c>
      <c r="C95" t="inlineStr">
        <is>
          <t>DEV026</t>
        </is>
      </c>
      <c r="D95" t="inlineStr">
        <is>
          <t>Saúde</t>
        </is>
      </c>
      <c r="E95" t="inlineStr">
        <is>
          <t>SP</t>
        </is>
      </c>
      <c r="F95" s="12" t="n">
        <v>73568.88</v>
      </c>
      <c r="G95" s="23" t="n">
        <v>46032</v>
      </c>
      <c r="H95" s="9" t="n">
        <v>21</v>
      </c>
      <c r="I95" t="inlineStr">
        <is>
          <t>Sem garantia</t>
        </is>
      </c>
      <c r="J95" s="12" t="n">
        <v>0</v>
      </c>
      <c r="K95" s="10" t="n">
        <v>1</v>
      </c>
    </row>
    <row r="96">
      <c r="A96" s="23" t="n">
        <v>46053</v>
      </c>
      <c r="B96" t="inlineStr">
        <is>
          <t>CR00093</t>
        </is>
      </c>
      <c r="C96" t="inlineStr">
        <is>
          <t>DEV026</t>
        </is>
      </c>
      <c r="D96" t="inlineStr">
        <is>
          <t>Saúde</t>
        </is>
      </c>
      <c r="E96" t="inlineStr">
        <is>
          <t>SP</t>
        </is>
      </c>
      <c r="F96" s="12" t="n">
        <v>48662.05</v>
      </c>
      <c r="G96" s="23" t="n">
        <v>46053</v>
      </c>
      <c r="H96" s="9" t="n">
        <v>0</v>
      </c>
      <c r="I96" t="inlineStr">
        <is>
          <t>Fiança</t>
        </is>
      </c>
      <c r="J96" s="12" t="n">
        <v>54108.97</v>
      </c>
      <c r="K96" s="10" t="n">
        <v>0.4</v>
      </c>
    </row>
    <row r="97">
      <c r="A97" s="23" t="n">
        <v>46053</v>
      </c>
      <c r="B97" t="inlineStr">
        <is>
          <t>CR00094</t>
        </is>
      </c>
      <c r="C97" t="inlineStr">
        <is>
          <t>DEV008</t>
        </is>
      </c>
      <c r="D97" t="inlineStr">
        <is>
          <t>Indústria</t>
        </is>
      </c>
      <c r="E97" t="inlineStr">
        <is>
          <t>RS</t>
        </is>
      </c>
      <c r="F97" s="12" t="n">
        <v>46845.11</v>
      </c>
      <c r="G97" s="23" t="n">
        <v>46007</v>
      </c>
      <c r="H97" s="9" t="n">
        <v>46</v>
      </c>
      <c r="I97" t="inlineStr">
        <is>
          <t>Cessão fiduciária</t>
        </is>
      </c>
      <c r="J97" s="12" t="n">
        <v>53758.95</v>
      </c>
      <c r="K97" s="10" t="n">
        <v>0.5</v>
      </c>
    </row>
    <row r="98">
      <c r="A98" s="23" t="n">
        <v>46053</v>
      </c>
      <c r="B98" t="inlineStr">
        <is>
          <t>CR00095</t>
        </is>
      </c>
      <c r="C98" t="inlineStr">
        <is>
          <t>DEV021</t>
        </is>
      </c>
      <c r="D98" t="inlineStr">
        <is>
          <t>Agro</t>
        </is>
      </c>
      <c r="E98" t="inlineStr">
        <is>
          <t>SC</t>
        </is>
      </c>
      <c r="F98" s="12" t="n">
        <v>32722.33</v>
      </c>
      <c r="G98" s="23" t="n">
        <v>46032</v>
      </c>
      <c r="H98" s="9" t="n">
        <v>21</v>
      </c>
      <c r="I98" t="inlineStr">
        <is>
          <t>Sem garantia</t>
        </is>
      </c>
      <c r="J98" s="12" t="n">
        <v>0</v>
      </c>
      <c r="K98" s="10" t="n">
        <v>1</v>
      </c>
      <c r="L98" t="inlineStr">
        <is>
          <t>Substituição</t>
        </is>
      </c>
    </row>
    <row r="99">
      <c r="A99" s="23" t="n">
        <v>46053</v>
      </c>
      <c r="B99" t="inlineStr">
        <is>
          <t>CR00096</t>
        </is>
      </c>
      <c r="C99" t="inlineStr">
        <is>
          <t>DEV012</t>
        </is>
      </c>
      <c r="D99" t="inlineStr">
        <is>
          <t>Comércio</t>
        </is>
      </c>
      <c r="E99" t="inlineStr">
        <is>
          <t>RJ</t>
        </is>
      </c>
      <c r="F99" s="12" t="n">
        <v>47404.84</v>
      </c>
      <c r="G99" s="23" t="n">
        <v>46035</v>
      </c>
      <c r="H99" s="9" t="n">
        <v>18</v>
      </c>
      <c r="I99" t="inlineStr">
        <is>
          <t>Sem garantia</t>
        </is>
      </c>
      <c r="J99" s="12" t="n">
        <v>0</v>
      </c>
      <c r="K99" s="10" t="n">
        <v>1</v>
      </c>
    </row>
    <row r="100">
      <c r="A100" s="23" t="n">
        <v>46053</v>
      </c>
      <c r="B100" t="inlineStr">
        <is>
          <t>CR00097</t>
        </is>
      </c>
      <c r="C100" t="inlineStr">
        <is>
          <t>DEV011</t>
        </is>
      </c>
      <c r="D100" t="inlineStr">
        <is>
          <t>Saúde</t>
        </is>
      </c>
      <c r="E100" t="inlineStr">
        <is>
          <t>PE</t>
        </is>
      </c>
      <c r="F100" s="12" t="n">
        <v>190226.01</v>
      </c>
      <c r="G100" s="23" t="n">
        <v>45952</v>
      </c>
      <c r="H100" s="9" t="n">
        <v>101</v>
      </c>
      <c r="I100" t="inlineStr">
        <is>
          <t>Fiança</t>
        </is>
      </c>
      <c r="J100" s="12" t="n">
        <v>125503.94</v>
      </c>
      <c r="K100" s="10" t="n">
        <v>0.6</v>
      </c>
      <c r="L100" t="inlineStr">
        <is>
          <t>Renegociação</t>
        </is>
      </c>
    </row>
    <row r="101">
      <c r="A101" s="23" t="n">
        <v>46053</v>
      </c>
      <c r="B101" t="inlineStr">
        <is>
          <t>CR00098</t>
        </is>
      </c>
      <c r="C101" t="inlineStr">
        <is>
          <t>DEV020</t>
        </is>
      </c>
      <c r="D101" t="inlineStr">
        <is>
          <t>Saúde</t>
        </is>
      </c>
      <c r="E101" t="inlineStr">
        <is>
          <t>PR</t>
        </is>
      </c>
      <c r="F101" s="12" t="n">
        <v>82571.81</v>
      </c>
      <c r="G101" s="23" t="n">
        <v>46053</v>
      </c>
      <c r="H101" s="9" t="n">
        <v>0</v>
      </c>
      <c r="I101" t="inlineStr">
        <is>
          <t>Alienação fiduciária</t>
        </is>
      </c>
      <c r="J101" s="12" t="n">
        <v>85950.49000000001</v>
      </c>
      <c r="K101" s="10" t="n">
        <v>0.5</v>
      </c>
    </row>
    <row r="102">
      <c r="A102" s="23" t="n">
        <v>46053</v>
      </c>
      <c r="B102" t="inlineStr">
        <is>
          <t>CR00099</t>
        </is>
      </c>
      <c r="C102" t="inlineStr">
        <is>
          <t>DEV019</t>
        </is>
      </c>
      <c r="D102" t="inlineStr">
        <is>
          <t>Serviços</t>
        </is>
      </c>
      <c r="E102" t="inlineStr">
        <is>
          <t>CE</t>
        </is>
      </c>
      <c r="F102" s="12" t="n">
        <v>39923.87</v>
      </c>
      <c r="G102" s="23" t="n">
        <v>46052</v>
      </c>
      <c r="H102" s="9" t="n">
        <v>1</v>
      </c>
      <c r="I102" t="inlineStr">
        <is>
          <t>Sem garantia</t>
        </is>
      </c>
      <c r="J102" s="12" t="n">
        <v>0</v>
      </c>
      <c r="K102" s="10" t="n">
        <v>1</v>
      </c>
    </row>
    <row r="103">
      <c r="A103" s="23" t="n">
        <v>46053</v>
      </c>
      <c r="B103" t="inlineStr">
        <is>
          <t>CR00100</t>
        </is>
      </c>
      <c r="C103" t="inlineStr">
        <is>
          <t>DEV013</t>
        </is>
      </c>
      <c r="D103" t="inlineStr">
        <is>
          <t>Serviços</t>
        </is>
      </c>
      <c r="E103" t="inlineStr">
        <is>
          <t>CE</t>
        </is>
      </c>
      <c r="F103" s="12" t="n">
        <v>36932.38</v>
      </c>
      <c r="G103" s="23" t="n">
        <v>46053</v>
      </c>
      <c r="H103" s="9" t="n">
        <v>0</v>
      </c>
      <c r="I103" t="inlineStr">
        <is>
          <t>Fiança</t>
        </is>
      </c>
      <c r="J103" s="12" t="n">
        <v>44218.53</v>
      </c>
      <c r="K103" s="10" t="n">
        <v>0.4</v>
      </c>
    </row>
    <row r="104">
      <c r="A104" s="23" t="n">
        <v>46053</v>
      </c>
      <c r="B104" t="inlineStr">
        <is>
          <t>CR00101</t>
        </is>
      </c>
      <c r="C104" t="inlineStr">
        <is>
          <t>DEV008</t>
        </is>
      </c>
      <c r="D104" t="inlineStr">
        <is>
          <t>Indústria</t>
        </is>
      </c>
      <c r="E104" t="inlineStr">
        <is>
          <t>RS</t>
        </is>
      </c>
      <c r="F104" s="12" t="n">
        <v>29181.96</v>
      </c>
      <c r="G104" s="23" t="n">
        <v>46053</v>
      </c>
      <c r="H104" s="9" t="n">
        <v>0</v>
      </c>
      <c r="I104" t="inlineStr">
        <is>
          <t>Sem garantia</t>
        </is>
      </c>
      <c r="J104" s="12" t="n">
        <v>0</v>
      </c>
      <c r="K104" s="10" t="n">
        <v>1</v>
      </c>
    </row>
    <row r="105">
      <c r="A105" s="23" t="n">
        <v>46053</v>
      </c>
      <c r="B105" t="inlineStr">
        <is>
          <t>CR00102</t>
        </is>
      </c>
      <c r="C105" t="inlineStr">
        <is>
          <t>DEV013</t>
        </is>
      </c>
      <c r="D105" t="inlineStr">
        <is>
          <t>Serviços</t>
        </is>
      </c>
      <c r="E105" t="inlineStr">
        <is>
          <t>CE</t>
        </is>
      </c>
      <c r="F105" s="12" t="n">
        <v>61366.67</v>
      </c>
      <c r="G105" s="23" t="n">
        <v>46022</v>
      </c>
      <c r="H105" s="9" t="n">
        <v>31</v>
      </c>
      <c r="I105" t="inlineStr">
        <is>
          <t>Cessão fiduciária</t>
        </is>
      </c>
      <c r="J105" s="12" t="n">
        <v>68902.07000000001</v>
      </c>
      <c r="K105" s="10" t="n">
        <v>0.6</v>
      </c>
    </row>
    <row r="106">
      <c r="A106" s="23" t="n">
        <v>46053</v>
      </c>
      <c r="B106" t="inlineStr">
        <is>
          <t>CR00103</t>
        </is>
      </c>
      <c r="C106" t="inlineStr">
        <is>
          <t>DEV011</t>
        </is>
      </c>
      <c r="D106" t="inlineStr">
        <is>
          <t>Saúde</t>
        </is>
      </c>
      <c r="E106" t="inlineStr">
        <is>
          <t>PE</t>
        </is>
      </c>
      <c r="F106" s="12" t="n">
        <v>62002.34</v>
      </c>
      <c r="G106" s="23" t="n">
        <v>46050</v>
      </c>
      <c r="H106" s="9" t="n">
        <v>3</v>
      </c>
      <c r="I106" t="inlineStr">
        <is>
          <t>Cessão fiduciária</t>
        </is>
      </c>
      <c r="J106" s="12" t="n">
        <v>70935.69</v>
      </c>
      <c r="K106" s="10" t="n">
        <v>0.4</v>
      </c>
    </row>
    <row r="107">
      <c r="A107" s="23" t="n">
        <v>46053</v>
      </c>
      <c r="B107" t="inlineStr">
        <is>
          <t>CR00104</t>
        </is>
      </c>
      <c r="C107" t="inlineStr">
        <is>
          <t>DEV018</t>
        </is>
      </c>
      <c r="D107" t="inlineStr">
        <is>
          <t>Comércio</t>
        </is>
      </c>
      <c r="E107" t="inlineStr">
        <is>
          <t>CE</t>
        </is>
      </c>
      <c r="F107" s="12" t="n">
        <v>20622.27</v>
      </c>
      <c r="G107" s="23" t="n">
        <v>45927</v>
      </c>
      <c r="H107" s="9" t="n">
        <v>126</v>
      </c>
      <c r="I107" t="inlineStr">
        <is>
          <t>Reserva de domínio</t>
        </is>
      </c>
      <c r="J107" s="12" t="n">
        <v>25552.75</v>
      </c>
      <c r="K107" s="10" t="n">
        <v>0.5</v>
      </c>
    </row>
    <row r="108">
      <c r="A108" s="23" t="n">
        <v>46053</v>
      </c>
      <c r="B108" t="inlineStr">
        <is>
          <t>CR00105</t>
        </is>
      </c>
      <c r="C108" t="inlineStr">
        <is>
          <t>DEV021</t>
        </is>
      </c>
      <c r="D108" t="inlineStr">
        <is>
          <t>Agro</t>
        </is>
      </c>
      <c r="E108" t="inlineStr">
        <is>
          <t>SC</t>
        </is>
      </c>
      <c r="F108" s="12" t="n">
        <v>65630.85000000001</v>
      </c>
      <c r="G108" s="23" t="n">
        <v>46029</v>
      </c>
      <c r="H108" s="9" t="n">
        <v>24</v>
      </c>
      <c r="I108" t="inlineStr">
        <is>
          <t>Cessão fiduciária</t>
        </is>
      </c>
      <c r="J108" s="12" t="n">
        <v>40524.46</v>
      </c>
      <c r="K108" s="10" t="n">
        <v>0.5</v>
      </c>
    </row>
    <row r="109">
      <c r="A109" s="23" t="n">
        <v>46053</v>
      </c>
      <c r="B109" t="inlineStr">
        <is>
          <t>CR00106</t>
        </is>
      </c>
      <c r="C109" t="inlineStr">
        <is>
          <t>DEV028</t>
        </is>
      </c>
      <c r="D109" t="inlineStr">
        <is>
          <t>Saúde</t>
        </is>
      </c>
      <c r="E109" t="inlineStr">
        <is>
          <t>PR</t>
        </is>
      </c>
      <c r="F109" s="12" t="n">
        <v>34832.87</v>
      </c>
      <c r="G109" s="23" t="n">
        <v>46053</v>
      </c>
      <c r="H109" s="9" t="n">
        <v>0</v>
      </c>
      <c r="I109" t="inlineStr">
        <is>
          <t>Sem garantia</t>
        </is>
      </c>
      <c r="J109" s="12" t="n">
        <v>0</v>
      </c>
      <c r="K109" s="10" t="n">
        <v>1</v>
      </c>
    </row>
    <row r="110">
      <c r="A110" s="23" t="n">
        <v>46053</v>
      </c>
      <c r="B110" t="inlineStr">
        <is>
          <t>CR00107</t>
        </is>
      </c>
      <c r="C110" t="inlineStr">
        <is>
          <t>DEV021</t>
        </is>
      </c>
      <c r="D110" t="inlineStr">
        <is>
          <t>Agro</t>
        </is>
      </c>
      <c r="E110" t="inlineStr">
        <is>
          <t>SC</t>
        </is>
      </c>
      <c r="F110" s="12" t="n">
        <v>115385.35</v>
      </c>
      <c r="G110" s="23" t="n">
        <v>45754</v>
      </c>
      <c r="H110" s="9" t="n">
        <v>299</v>
      </c>
      <c r="I110" t="inlineStr">
        <is>
          <t>Cessão fiduciária</t>
        </is>
      </c>
      <c r="J110" s="12" t="n">
        <v>74012.85000000001</v>
      </c>
      <c r="K110" s="10" t="n">
        <v>0.3</v>
      </c>
      <c r="L110" t="inlineStr">
        <is>
          <t>Recompra</t>
        </is>
      </c>
    </row>
    <row r="111">
      <c r="A111" s="23" t="n">
        <v>46053</v>
      </c>
      <c r="B111" t="inlineStr">
        <is>
          <t>CR00108</t>
        </is>
      </c>
      <c r="C111" t="inlineStr">
        <is>
          <t>DEV024</t>
        </is>
      </c>
      <c r="D111" t="inlineStr">
        <is>
          <t>Serviços</t>
        </is>
      </c>
      <c r="E111" t="inlineStr">
        <is>
          <t>RJ</t>
        </is>
      </c>
      <c r="F111" s="12" t="n">
        <v>53858.01</v>
      </c>
      <c r="G111" s="23" t="n">
        <v>46053</v>
      </c>
      <c r="H111" s="9" t="n">
        <v>0</v>
      </c>
      <c r="I111" t="inlineStr">
        <is>
          <t>Sem garantia</t>
        </is>
      </c>
      <c r="J111" s="12" t="n">
        <v>0</v>
      </c>
      <c r="K111" s="10" t="n">
        <v>1</v>
      </c>
      <c r="L111" t="inlineStr">
        <is>
          <t>Renegociação</t>
        </is>
      </c>
    </row>
    <row r="112">
      <c r="A112" s="23" t="n">
        <v>46053</v>
      </c>
      <c r="B112" t="inlineStr">
        <is>
          <t>CR00109</t>
        </is>
      </c>
      <c r="C112" t="inlineStr">
        <is>
          <t>DEV009</t>
        </is>
      </c>
      <c r="D112" t="inlineStr">
        <is>
          <t>Saúde</t>
        </is>
      </c>
      <c r="E112" t="inlineStr">
        <is>
          <t>BA</t>
        </is>
      </c>
      <c r="F112" s="12" t="n">
        <v>137398.13</v>
      </c>
      <c r="G112" s="23" t="n">
        <v>46053</v>
      </c>
      <c r="H112" s="9" t="n">
        <v>0</v>
      </c>
      <c r="I112" t="inlineStr">
        <is>
          <t>Alienação fiduciária</t>
        </is>
      </c>
      <c r="J112" s="12" t="n">
        <v>171452.95</v>
      </c>
      <c r="K112" s="10" t="n">
        <v>0.5</v>
      </c>
      <c r="L112" t="inlineStr">
        <is>
          <t>Recompra</t>
        </is>
      </c>
    </row>
    <row r="113">
      <c r="A113" s="23" t="n">
        <v>46053</v>
      </c>
      <c r="B113" t="inlineStr">
        <is>
          <t>CR00110</t>
        </is>
      </c>
      <c r="C113" t="inlineStr">
        <is>
          <t>DEV021</t>
        </is>
      </c>
      <c r="D113" t="inlineStr">
        <is>
          <t>Agro</t>
        </is>
      </c>
      <c r="E113" t="inlineStr">
        <is>
          <t>SC</t>
        </is>
      </c>
      <c r="F113" s="12" t="n">
        <v>37239.45</v>
      </c>
      <c r="G113" s="23" t="n">
        <v>45994</v>
      </c>
      <c r="H113" s="9" t="n">
        <v>59</v>
      </c>
      <c r="I113" t="inlineStr">
        <is>
          <t>Sem garantia</t>
        </is>
      </c>
      <c r="J113" s="12" t="n">
        <v>0</v>
      </c>
      <c r="K113" s="10" t="n">
        <v>1</v>
      </c>
      <c r="L113" t="inlineStr">
        <is>
          <t>Renegociação</t>
        </is>
      </c>
    </row>
    <row r="114">
      <c r="A114" s="23" t="n">
        <v>46053</v>
      </c>
      <c r="B114" t="inlineStr">
        <is>
          <t>CR00111</t>
        </is>
      </c>
      <c r="C114" t="inlineStr">
        <is>
          <t>DEV002</t>
        </is>
      </c>
      <c r="D114" t="inlineStr">
        <is>
          <t>Comércio</t>
        </is>
      </c>
      <c r="E114" t="inlineStr">
        <is>
          <t>BA</t>
        </is>
      </c>
      <c r="F114" s="12" t="n">
        <v>41241.89</v>
      </c>
      <c r="G114" s="23" t="n">
        <v>46053</v>
      </c>
      <c r="H114" s="9" t="n">
        <v>0</v>
      </c>
      <c r="I114" t="inlineStr">
        <is>
          <t>Sem garantia</t>
        </is>
      </c>
      <c r="J114" s="12" t="n">
        <v>0</v>
      </c>
      <c r="K114" s="10" t="n">
        <v>1</v>
      </c>
    </row>
    <row r="115">
      <c r="A115" s="23" t="n">
        <v>46053</v>
      </c>
      <c r="B115" t="inlineStr">
        <is>
          <t>CR00112</t>
        </is>
      </c>
      <c r="C115" t="inlineStr">
        <is>
          <t>DEV016</t>
        </is>
      </c>
      <c r="D115" t="inlineStr">
        <is>
          <t>Agro</t>
        </is>
      </c>
      <c r="E115" t="inlineStr">
        <is>
          <t>MG</t>
        </is>
      </c>
      <c r="F115" s="12" t="n">
        <v>58681.81</v>
      </c>
      <c r="G115" s="23" t="n">
        <v>46053</v>
      </c>
      <c r="H115" s="9" t="n">
        <v>0</v>
      </c>
      <c r="I115" t="inlineStr">
        <is>
          <t>Cessão fiduciária</t>
        </is>
      </c>
      <c r="J115" s="12" t="n">
        <v>57855.78</v>
      </c>
      <c r="K115" s="10" t="n">
        <v>0.6</v>
      </c>
      <c r="L115" t="inlineStr">
        <is>
          <t>Renegociação</t>
        </is>
      </c>
    </row>
    <row r="116">
      <c r="A116" s="23" t="n">
        <v>46053</v>
      </c>
      <c r="B116" t="inlineStr">
        <is>
          <t>CR00113</t>
        </is>
      </c>
      <c r="C116" t="inlineStr">
        <is>
          <t>DEV028</t>
        </is>
      </c>
      <c r="D116" t="inlineStr">
        <is>
          <t>Saúde</t>
        </is>
      </c>
      <c r="E116" t="inlineStr">
        <is>
          <t>PR</t>
        </is>
      </c>
      <c r="F116" s="12" t="n">
        <v>92371.06</v>
      </c>
      <c r="G116" s="23" t="n">
        <v>45921</v>
      </c>
      <c r="H116" s="9" t="n">
        <v>132</v>
      </c>
      <c r="I116" t="inlineStr">
        <is>
          <t>Sem garantia</t>
        </is>
      </c>
      <c r="J116" s="12" t="n">
        <v>0</v>
      </c>
      <c r="K116" s="10" t="n">
        <v>1</v>
      </c>
    </row>
    <row r="117">
      <c r="A117" s="23" t="n">
        <v>46053</v>
      </c>
      <c r="B117" t="inlineStr">
        <is>
          <t>CR00114</t>
        </is>
      </c>
      <c r="C117" t="inlineStr">
        <is>
          <t>DEV007</t>
        </is>
      </c>
      <c r="D117" t="inlineStr">
        <is>
          <t>Serviços</t>
        </is>
      </c>
      <c r="E117" t="inlineStr">
        <is>
          <t>MG</t>
        </is>
      </c>
      <c r="F117" s="12" t="n">
        <v>68839.25999999999</v>
      </c>
      <c r="G117" s="23" t="n">
        <v>46053</v>
      </c>
      <c r="H117" s="9" t="n">
        <v>0</v>
      </c>
      <c r="I117" t="inlineStr">
        <is>
          <t>Cessão fiduciária</t>
        </is>
      </c>
      <c r="J117" s="12" t="n">
        <v>48222.87</v>
      </c>
      <c r="K117" s="10" t="n">
        <v>0.6</v>
      </c>
    </row>
    <row r="118">
      <c r="A118" s="23" t="n">
        <v>46053</v>
      </c>
      <c r="B118" t="inlineStr">
        <is>
          <t>CR00115</t>
        </is>
      </c>
      <c r="C118" t="inlineStr">
        <is>
          <t>DEV024</t>
        </is>
      </c>
      <c r="D118" t="inlineStr">
        <is>
          <t>Serviços</t>
        </is>
      </c>
      <c r="E118" t="inlineStr">
        <is>
          <t>RJ</t>
        </is>
      </c>
      <c r="F118" s="12" t="n">
        <v>23385.83</v>
      </c>
      <c r="G118" s="23" t="n">
        <v>45927</v>
      </c>
      <c r="H118" s="9" t="n">
        <v>126</v>
      </c>
      <c r="I118" t="inlineStr">
        <is>
          <t>Cessão fiduciária</t>
        </is>
      </c>
      <c r="J118" s="12" t="n">
        <v>20382.92</v>
      </c>
      <c r="K118" s="10" t="n">
        <v>0.4</v>
      </c>
    </row>
    <row r="119">
      <c r="A119" s="23" t="n">
        <v>46053</v>
      </c>
      <c r="B119" t="inlineStr">
        <is>
          <t>CR00116</t>
        </is>
      </c>
      <c r="C119" t="inlineStr">
        <is>
          <t>DEV008</t>
        </is>
      </c>
      <c r="D119" t="inlineStr">
        <is>
          <t>Indústria</t>
        </is>
      </c>
      <c r="E119" t="inlineStr">
        <is>
          <t>RS</t>
        </is>
      </c>
      <c r="F119" s="12" t="n">
        <v>54706.64</v>
      </c>
      <c r="G119" s="23" t="n">
        <v>46031</v>
      </c>
      <c r="H119" s="9" t="n">
        <v>22</v>
      </c>
      <c r="I119" t="inlineStr">
        <is>
          <t>Fiança</t>
        </is>
      </c>
      <c r="J119" s="12" t="n">
        <v>38899.73</v>
      </c>
      <c r="K119" s="10" t="n">
        <v>0.4</v>
      </c>
    </row>
    <row r="120">
      <c r="A120" s="23" t="n">
        <v>46053</v>
      </c>
      <c r="B120" t="inlineStr">
        <is>
          <t>CR00117</t>
        </is>
      </c>
      <c r="C120" t="inlineStr">
        <is>
          <t>DEV002</t>
        </is>
      </c>
      <c r="D120" t="inlineStr">
        <is>
          <t>Comércio</t>
        </is>
      </c>
      <c r="E120" t="inlineStr">
        <is>
          <t>BA</t>
        </is>
      </c>
      <c r="F120" s="12" t="n">
        <v>49679.46</v>
      </c>
      <c r="G120" s="23" t="n">
        <v>46053</v>
      </c>
      <c r="H120" s="9" t="n">
        <v>0</v>
      </c>
      <c r="I120" t="inlineStr">
        <is>
          <t>Alienação fiduciária</t>
        </is>
      </c>
      <c r="J120" s="12" t="n">
        <v>31478.64</v>
      </c>
      <c r="K120" s="10" t="n">
        <v>0.4</v>
      </c>
      <c r="L120" t="inlineStr">
        <is>
          <t>Alongamento</t>
        </is>
      </c>
    </row>
    <row r="121">
      <c r="A121" s="23" t="n">
        <v>46053</v>
      </c>
      <c r="B121" t="inlineStr">
        <is>
          <t>CR00118</t>
        </is>
      </c>
      <c r="C121" t="inlineStr">
        <is>
          <t>DEV024</t>
        </is>
      </c>
      <c r="D121" t="inlineStr">
        <is>
          <t>Serviços</t>
        </is>
      </c>
      <c r="E121" t="inlineStr">
        <is>
          <t>RJ</t>
        </is>
      </c>
      <c r="F121" s="12" t="n">
        <v>37894.41</v>
      </c>
      <c r="G121" s="23" t="n">
        <v>46053</v>
      </c>
      <c r="H121" s="9" t="n">
        <v>0</v>
      </c>
      <c r="I121" t="inlineStr">
        <is>
          <t>Sem garantia</t>
        </is>
      </c>
      <c r="J121" s="12" t="n">
        <v>0</v>
      </c>
      <c r="K121" s="10" t="n">
        <v>1</v>
      </c>
    </row>
    <row r="122">
      <c r="A122" s="23" t="n">
        <v>46053</v>
      </c>
      <c r="B122" t="inlineStr">
        <is>
          <t>CR00119</t>
        </is>
      </c>
      <c r="C122" t="inlineStr">
        <is>
          <t>DEV026</t>
        </is>
      </c>
      <c r="D122" t="inlineStr">
        <is>
          <t>Saúde</t>
        </is>
      </c>
      <c r="E122" t="inlineStr">
        <is>
          <t>SP</t>
        </is>
      </c>
      <c r="F122" s="12" t="n">
        <v>33227.62</v>
      </c>
      <c r="G122" s="23" t="n">
        <v>46053</v>
      </c>
      <c r="H122" s="9" t="n">
        <v>0</v>
      </c>
      <c r="I122" t="inlineStr">
        <is>
          <t>Sem garantia</t>
        </is>
      </c>
      <c r="J122" s="12" t="n">
        <v>0</v>
      </c>
      <c r="K122" s="10" t="n">
        <v>1</v>
      </c>
      <c r="L122" t="inlineStr">
        <is>
          <t>Alongamento</t>
        </is>
      </c>
    </row>
    <row r="123">
      <c r="A123" s="23" t="n">
        <v>46053</v>
      </c>
      <c r="B123" t="inlineStr">
        <is>
          <t>CR00120</t>
        </is>
      </c>
      <c r="C123" t="inlineStr">
        <is>
          <t>DEV020</t>
        </is>
      </c>
      <c r="D123" t="inlineStr">
        <is>
          <t>Saúde</t>
        </is>
      </c>
      <c r="E123" t="inlineStr">
        <is>
          <t>PR</t>
        </is>
      </c>
      <c r="F123" s="12" t="n">
        <v>139880.86</v>
      </c>
      <c r="G123" s="23" t="n">
        <v>45699</v>
      </c>
      <c r="H123" s="9" t="n">
        <v>354</v>
      </c>
      <c r="I123" t="inlineStr">
        <is>
          <t>Sem garantia</t>
        </is>
      </c>
      <c r="J123" s="12" t="n">
        <v>0</v>
      </c>
      <c r="K123" s="10" t="n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2" customWidth="1" min="5" max="5"/>
    <col width="16" customWidth="1" min="6" max="6"/>
  </cols>
  <sheetData>
    <row r="1">
      <c r="A1" s="3" t="inlineStr">
        <is>
          <t>Efeito Vagão — Sumário por Devedor (gatilho e PDD% mínimo aplicado)</t>
        </is>
      </c>
    </row>
    <row r="3">
      <c r="A3" s="8" t="inlineStr">
        <is>
          <t>ID_Devedor</t>
        </is>
      </c>
      <c r="B3" s="8" t="inlineStr">
        <is>
          <t>Saldo_total</t>
        </is>
      </c>
      <c r="C3" s="8" t="inlineStr">
        <is>
          <t>Max_dias_atraso</t>
        </is>
      </c>
      <c r="D3" s="8" t="inlineStr">
        <is>
          <t>PDD%_máx_base</t>
        </is>
      </c>
      <c r="E3" s="8" t="inlineStr">
        <is>
          <t>Vagão_ativo?</t>
        </is>
      </c>
      <c r="F3" s="8" t="inlineStr">
        <is>
          <t>PDD%_mín_devedor</t>
        </is>
      </c>
    </row>
    <row r="4">
      <c r="A4" t="inlineStr">
        <is>
          <t>DEV001</t>
        </is>
      </c>
      <c r="B4" s="12">
        <f>SUMIF(INPUT_CARTEIRA!$C$4:$C$123,$A4,INPUT_CARTEIRA!$F$4:$F$123)</f>
        <v/>
      </c>
      <c r="C4" s="9">
        <f>MAXIFS(INPUT_CARTEIRA!$H$4:$H$123,INPUT_CARTEIRA!$C$4:$C$123,$A4)</f>
        <v/>
      </c>
      <c r="D4" s="10">
        <f>MAXIFS(CALC_PDD!$N$4:$N$123,CALC_PDD!$C$4:$C$123,$A4)</f>
        <v/>
      </c>
      <c r="E4" s="24">
        <f>$C4&gt;=PARAMETROS!$B$4</f>
        <v/>
      </c>
      <c r="F4" s="10">
        <f>IF($E4,$D4,0)</f>
        <v/>
      </c>
    </row>
    <row r="5">
      <c r="A5" t="inlineStr">
        <is>
          <t>DEV002</t>
        </is>
      </c>
      <c r="B5" s="12">
        <f>SUMIF(INPUT_CARTEIRA!$C$4:$C$123,$A5,INPUT_CARTEIRA!$F$4:$F$123)</f>
        <v/>
      </c>
      <c r="C5" s="9">
        <f>MAXIFS(INPUT_CARTEIRA!$H$4:$H$123,INPUT_CARTEIRA!$C$4:$C$123,$A5)</f>
        <v/>
      </c>
      <c r="D5" s="10">
        <f>MAXIFS(CALC_PDD!$N$4:$N$123,CALC_PDD!$C$4:$C$123,$A5)</f>
        <v/>
      </c>
      <c r="E5" s="24">
        <f>$C5&gt;=PARAMETROS!$B$4</f>
        <v/>
      </c>
      <c r="F5" s="10">
        <f>IF($E5,$D5,0)</f>
        <v/>
      </c>
    </row>
    <row r="6">
      <c r="A6" t="inlineStr">
        <is>
          <t>DEV004</t>
        </is>
      </c>
      <c r="B6" s="12">
        <f>SUMIF(INPUT_CARTEIRA!$C$4:$C$123,$A6,INPUT_CARTEIRA!$F$4:$F$123)</f>
        <v/>
      </c>
      <c r="C6" s="9">
        <f>MAXIFS(INPUT_CARTEIRA!$H$4:$H$123,INPUT_CARTEIRA!$C$4:$C$123,$A6)</f>
        <v/>
      </c>
      <c r="D6" s="10">
        <f>MAXIFS(CALC_PDD!$N$4:$N$123,CALC_PDD!$C$4:$C$123,$A6)</f>
        <v/>
      </c>
      <c r="E6" s="24">
        <f>$C6&gt;=PARAMETROS!$B$4</f>
        <v/>
      </c>
      <c r="F6" s="10">
        <f>IF($E6,$D6,0)</f>
        <v/>
      </c>
    </row>
    <row r="7">
      <c r="A7" t="inlineStr">
        <is>
          <t>DEV007</t>
        </is>
      </c>
      <c r="B7" s="12">
        <f>SUMIF(INPUT_CARTEIRA!$C$4:$C$123,$A7,INPUT_CARTEIRA!$F$4:$F$123)</f>
        <v/>
      </c>
      <c r="C7" s="9">
        <f>MAXIFS(INPUT_CARTEIRA!$H$4:$H$123,INPUT_CARTEIRA!$C$4:$C$123,$A7)</f>
        <v/>
      </c>
      <c r="D7" s="10">
        <f>MAXIFS(CALC_PDD!$N$4:$N$123,CALC_PDD!$C$4:$C$123,$A7)</f>
        <v/>
      </c>
      <c r="E7" s="24">
        <f>$C7&gt;=PARAMETROS!$B$4</f>
        <v/>
      </c>
      <c r="F7" s="10">
        <f>IF($E7,$D7,0)</f>
        <v/>
      </c>
    </row>
    <row r="8">
      <c r="A8" t="inlineStr">
        <is>
          <t>DEV008</t>
        </is>
      </c>
      <c r="B8" s="12">
        <f>SUMIF(INPUT_CARTEIRA!$C$4:$C$123,$A8,INPUT_CARTEIRA!$F$4:$F$123)</f>
        <v/>
      </c>
      <c r="C8" s="9">
        <f>MAXIFS(INPUT_CARTEIRA!$H$4:$H$123,INPUT_CARTEIRA!$C$4:$C$123,$A8)</f>
        <v/>
      </c>
      <c r="D8" s="10">
        <f>MAXIFS(CALC_PDD!$N$4:$N$123,CALC_PDD!$C$4:$C$123,$A8)</f>
        <v/>
      </c>
      <c r="E8" s="24">
        <f>$C8&gt;=PARAMETROS!$B$4</f>
        <v/>
      </c>
      <c r="F8" s="10">
        <f>IF($E8,$D8,0)</f>
        <v/>
      </c>
    </row>
    <row r="9">
      <c r="A9" t="inlineStr">
        <is>
          <t>DEV009</t>
        </is>
      </c>
      <c r="B9" s="12">
        <f>SUMIF(INPUT_CARTEIRA!$C$4:$C$123,$A9,INPUT_CARTEIRA!$F$4:$F$123)</f>
        <v/>
      </c>
      <c r="C9" s="9">
        <f>MAXIFS(INPUT_CARTEIRA!$H$4:$H$123,INPUT_CARTEIRA!$C$4:$C$123,$A9)</f>
        <v/>
      </c>
      <c r="D9" s="10">
        <f>MAXIFS(CALC_PDD!$N$4:$N$123,CALC_PDD!$C$4:$C$123,$A9)</f>
        <v/>
      </c>
      <c r="E9" s="24">
        <f>$C9&gt;=PARAMETROS!$B$4</f>
        <v/>
      </c>
      <c r="F9" s="10">
        <f>IF($E9,$D9,0)</f>
        <v/>
      </c>
    </row>
    <row r="10">
      <c r="A10" t="inlineStr">
        <is>
          <t>DEV010</t>
        </is>
      </c>
      <c r="B10" s="12">
        <f>SUMIF(INPUT_CARTEIRA!$C$4:$C$123,$A10,INPUT_CARTEIRA!$F$4:$F$123)</f>
        <v/>
      </c>
      <c r="C10" s="9">
        <f>MAXIFS(INPUT_CARTEIRA!$H$4:$H$123,INPUT_CARTEIRA!$C$4:$C$123,$A10)</f>
        <v/>
      </c>
      <c r="D10" s="10">
        <f>MAXIFS(CALC_PDD!$N$4:$N$123,CALC_PDD!$C$4:$C$123,$A10)</f>
        <v/>
      </c>
      <c r="E10" s="24">
        <f>$C10&gt;=PARAMETROS!$B$4</f>
        <v/>
      </c>
      <c r="F10" s="10">
        <f>IF($E10,$D10,0)</f>
        <v/>
      </c>
    </row>
    <row r="11">
      <c r="A11" t="inlineStr">
        <is>
          <t>DEV011</t>
        </is>
      </c>
      <c r="B11" s="12">
        <f>SUMIF(INPUT_CARTEIRA!$C$4:$C$123,$A11,INPUT_CARTEIRA!$F$4:$F$123)</f>
        <v/>
      </c>
      <c r="C11" s="9">
        <f>MAXIFS(INPUT_CARTEIRA!$H$4:$H$123,INPUT_CARTEIRA!$C$4:$C$123,$A11)</f>
        <v/>
      </c>
      <c r="D11" s="10">
        <f>MAXIFS(CALC_PDD!$N$4:$N$123,CALC_PDD!$C$4:$C$123,$A11)</f>
        <v/>
      </c>
      <c r="E11" s="24">
        <f>$C11&gt;=PARAMETROS!$B$4</f>
        <v/>
      </c>
      <c r="F11" s="10">
        <f>IF($E11,$D11,0)</f>
        <v/>
      </c>
    </row>
    <row r="12">
      <c r="A12" t="inlineStr">
        <is>
          <t>DEV012</t>
        </is>
      </c>
      <c r="B12" s="12">
        <f>SUMIF(INPUT_CARTEIRA!$C$4:$C$123,$A12,INPUT_CARTEIRA!$F$4:$F$123)</f>
        <v/>
      </c>
      <c r="C12" s="9">
        <f>MAXIFS(INPUT_CARTEIRA!$H$4:$H$123,INPUT_CARTEIRA!$C$4:$C$123,$A12)</f>
        <v/>
      </c>
      <c r="D12" s="10">
        <f>MAXIFS(CALC_PDD!$N$4:$N$123,CALC_PDD!$C$4:$C$123,$A12)</f>
        <v/>
      </c>
      <c r="E12" s="24">
        <f>$C12&gt;=PARAMETROS!$B$4</f>
        <v/>
      </c>
      <c r="F12" s="10">
        <f>IF($E12,$D12,0)</f>
        <v/>
      </c>
    </row>
    <row r="13">
      <c r="A13" t="inlineStr">
        <is>
          <t>DEV013</t>
        </is>
      </c>
      <c r="B13" s="12">
        <f>SUMIF(INPUT_CARTEIRA!$C$4:$C$123,$A13,INPUT_CARTEIRA!$F$4:$F$123)</f>
        <v/>
      </c>
      <c r="C13" s="9">
        <f>MAXIFS(INPUT_CARTEIRA!$H$4:$H$123,INPUT_CARTEIRA!$C$4:$C$123,$A13)</f>
        <v/>
      </c>
      <c r="D13" s="10">
        <f>MAXIFS(CALC_PDD!$N$4:$N$123,CALC_PDD!$C$4:$C$123,$A13)</f>
        <v/>
      </c>
      <c r="E13" s="24">
        <f>$C13&gt;=PARAMETROS!$B$4</f>
        <v/>
      </c>
      <c r="F13" s="10">
        <f>IF($E13,$D13,0)</f>
        <v/>
      </c>
    </row>
    <row r="14">
      <c r="A14" t="inlineStr">
        <is>
          <t>DEV014</t>
        </is>
      </c>
      <c r="B14" s="12">
        <f>SUMIF(INPUT_CARTEIRA!$C$4:$C$123,$A14,INPUT_CARTEIRA!$F$4:$F$123)</f>
        <v/>
      </c>
      <c r="C14" s="9">
        <f>MAXIFS(INPUT_CARTEIRA!$H$4:$H$123,INPUT_CARTEIRA!$C$4:$C$123,$A14)</f>
        <v/>
      </c>
      <c r="D14" s="10">
        <f>MAXIFS(CALC_PDD!$N$4:$N$123,CALC_PDD!$C$4:$C$123,$A14)</f>
        <v/>
      </c>
      <c r="E14" s="24">
        <f>$C14&gt;=PARAMETROS!$B$4</f>
        <v/>
      </c>
      <c r="F14" s="10">
        <f>IF($E14,$D14,0)</f>
        <v/>
      </c>
    </row>
    <row r="15">
      <c r="A15" t="inlineStr">
        <is>
          <t>DEV015</t>
        </is>
      </c>
      <c r="B15" s="12">
        <f>SUMIF(INPUT_CARTEIRA!$C$4:$C$123,$A15,INPUT_CARTEIRA!$F$4:$F$123)</f>
        <v/>
      </c>
      <c r="C15" s="9">
        <f>MAXIFS(INPUT_CARTEIRA!$H$4:$H$123,INPUT_CARTEIRA!$C$4:$C$123,$A15)</f>
        <v/>
      </c>
      <c r="D15" s="10">
        <f>MAXIFS(CALC_PDD!$N$4:$N$123,CALC_PDD!$C$4:$C$123,$A15)</f>
        <v/>
      </c>
      <c r="E15" s="24">
        <f>$C15&gt;=PARAMETROS!$B$4</f>
        <v/>
      </c>
      <c r="F15" s="10">
        <f>IF($E15,$D15,0)</f>
        <v/>
      </c>
    </row>
    <row r="16">
      <c r="A16" t="inlineStr">
        <is>
          <t>DEV016</t>
        </is>
      </c>
      <c r="B16" s="12">
        <f>SUMIF(INPUT_CARTEIRA!$C$4:$C$123,$A16,INPUT_CARTEIRA!$F$4:$F$123)</f>
        <v/>
      </c>
      <c r="C16" s="9">
        <f>MAXIFS(INPUT_CARTEIRA!$H$4:$H$123,INPUT_CARTEIRA!$C$4:$C$123,$A16)</f>
        <v/>
      </c>
      <c r="D16" s="10">
        <f>MAXIFS(CALC_PDD!$N$4:$N$123,CALC_PDD!$C$4:$C$123,$A16)</f>
        <v/>
      </c>
      <c r="E16" s="24">
        <f>$C16&gt;=PARAMETROS!$B$4</f>
        <v/>
      </c>
      <c r="F16" s="10">
        <f>IF($E16,$D16,0)</f>
        <v/>
      </c>
    </row>
    <row r="17">
      <c r="A17" t="inlineStr">
        <is>
          <t>DEV017</t>
        </is>
      </c>
      <c r="B17" s="12">
        <f>SUMIF(INPUT_CARTEIRA!$C$4:$C$123,$A17,INPUT_CARTEIRA!$F$4:$F$123)</f>
        <v/>
      </c>
      <c r="C17" s="9">
        <f>MAXIFS(INPUT_CARTEIRA!$H$4:$H$123,INPUT_CARTEIRA!$C$4:$C$123,$A17)</f>
        <v/>
      </c>
      <c r="D17" s="10">
        <f>MAXIFS(CALC_PDD!$N$4:$N$123,CALC_PDD!$C$4:$C$123,$A17)</f>
        <v/>
      </c>
      <c r="E17" s="24">
        <f>$C17&gt;=PARAMETROS!$B$4</f>
        <v/>
      </c>
      <c r="F17" s="10">
        <f>IF($E17,$D17,0)</f>
        <v/>
      </c>
    </row>
    <row r="18">
      <c r="A18" t="inlineStr">
        <is>
          <t>DEV018</t>
        </is>
      </c>
      <c r="B18" s="12">
        <f>SUMIF(INPUT_CARTEIRA!$C$4:$C$123,$A18,INPUT_CARTEIRA!$F$4:$F$123)</f>
        <v/>
      </c>
      <c r="C18" s="9">
        <f>MAXIFS(INPUT_CARTEIRA!$H$4:$H$123,INPUT_CARTEIRA!$C$4:$C$123,$A18)</f>
        <v/>
      </c>
      <c r="D18" s="10">
        <f>MAXIFS(CALC_PDD!$N$4:$N$123,CALC_PDD!$C$4:$C$123,$A18)</f>
        <v/>
      </c>
      <c r="E18" s="24">
        <f>$C18&gt;=PARAMETROS!$B$4</f>
        <v/>
      </c>
      <c r="F18" s="10">
        <f>IF($E18,$D18,0)</f>
        <v/>
      </c>
    </row>
    <row r="19">
      <c r="A19" t="inlineStr">
        <is>
          <t>DEV019</t>
        </is>
      </c>
      <c r="B19" s="12">
        <f>SUMIF(INPUT_CARTEIRA!$C$4:$C$123,$A19,INPUT_CARTEIRA!$F$4:$F$123)</f>
        <v/>
      </c>
      <c r="C19" s="9">
        <f>MAXIFS(INPUT_CARTEIRA!$H$4:$H$123,INPUT_CARTEIRA!$C$4:$C$123,$A19)</f>
        <v/>
      </c>
      <c r="D19" s="10">
        <f>MAXIFS(CALC_PDD!$N$4:$N$123,CALC_PDD!$C$4:$C$123,$A19)</f>
        <v/>
      </c>
      <c r="E19" s="24">
        <f>$C19&gt;=PARAMETROS!$B$4</f>
        <v/>
      </c>
      <c r="F19" s="10">
        <f>IF($E19,$D19,0)</f>
        <v/>
      </c>
    </row>
    <row r="20">
      <c r="A20" t="inlineStr">
        <is>
          <t>DEV020</t>
        </is>
      </c>
      <c r="B20" s="12">
        <f>SUMIF(INPUT_CARTEIRA!$C$4:$C$123,$A20,INPUT_CARTEIRA!$F$4:$F$123)</f>
        <v/>
      </c>
      <c r="C20" s="9">
        <f>MAXIFS(INPUT_CARTEIRA!$H$4:$H$123,INPUT_CARTEIRA!$C$4:$C$123,$A20)</f>
        <v/>
      </c>
      <c r="D20" s="10">
        <f>MAXIFS(CALC_PDD!$N$4:$N$123,CALC_PDD!$C$4:$C$123,$A20)</f>
        <v/>
      </c>
      <c r="E20" s="24">
        <f>$C20&gt;=PARAMETROS!$B$4</f>
        <v/>
      </c>
      <c r="F20" s="10">
        <f>IF($E20,$D20,0)</f>
        <v/>
      </c>
    </row>
    <row r="21">
      <c r="A21" t="inlineStr">
        <is>
          <t>DEV021</t>
        </is>
      </c>
      <c r="B21" s="12">
        <f>SUMIF(INPUT_CARTEIRA!$C$4:$C$123,$A21,INPUT_CARTEIRA!$F$4:$F$123)</f>
        <v/>
      </c>
      <c r="C21" s="9">
        <f>MAXIFS(INPUT_CARTEIRA!$H$4:$H$123,INPUT_CARTEIRA!$C$4:$C$123,$A21)</f>
        <v/>
      </c>
      <c r="D21" s="10">
        <f>MAXIFS(CALC_PDD!$N$4:$N$123,CALC_PDD!$C$4:$C$123,$A21)</f>
        <v/>
      </c>
      <c r="E21" s="24">
        <f>$C21&gt;=PARAMETROS!$B$4</f>
        <v/>
      </c>
      <c r="F21" s="10">
        <f>IF($E21,$D21,0)</f>
        <v/>
      </c>
    </row>
    <row r="22">
      <c r="A22" t="inlineStr">
        <is>
          <t>DEV023</t>
        </is>
      </c>
      <c r="B22" s="12">
        <f>SUMIF(INPUT_CARTEIRA!$C$4:$C$123,$A22,INPUT_CARTEIRA!$F$4:$F$123)</f>
        <v/>
      </c>
      <c r="C22" s="9">
        <f>MAXIFS(INPUT_CARTEIRA!$H$4:$H$123,INPUT_CARTEIRA!$C$4:$C$123,$A22)</f>
        <v/>
      </c>
      <c r="D22" s="10">
        <f>MAXIFS(CALC_PDD!$N$4:$N$123,CALC_PDD!$C$4:$C$123,$A22)</f>
        <v/>
      </c>
      <c r="E22" s="24">
        <f>$C22&gt;=PARAMETROS!$B$4</f>
        <v/>
      </c>
      <c r="F22" s="10">
        <f>IF($E22,$D22,0)</f>
        <v/>
      </c>
    </row>
    <row r="23">
      <c r="A23" t="inlineStr">
        <is>
          <t>DEV024</t>
        </is>
      </c>
      <c r="B23" s="12">
        <f>SUMIF(INPUT_CARTEIRA!$C$4:$C$123,$A23,INPUT_CARTEIRA!$F$4:$F$123)</f>
        <v/>
      </c>
      <c r="C23" s="9">
        <f>MAXIFS(INPUT_CARTEIRA!$H$4:$H$123,INPUT_CARTEIRA!$C$4:$C$123,$A23)</f>
        <v/>
      </c>
      <c r="D23" s="10">
        <f>MAXIFS(CALC_PDD!$N$4:$N$123,CALC_PDD!$C$4:$C$123,$A23)</f>
        <v/>
      </c>
      <c r="E23" s="24">
        <f>$C23&gt;=PARAMETROS!$B$4</f>
        <v/>
      </c>
      <c r="F23" s="10">
        <f>IF($E23,$D23,0)</f>
        <v/>
      </c>
    </row>
    <row r="24">
      <c r="A24" t="inlineStr">
        <is>
          <t>DEV025</t>
        </is>
      </c>
      <c r="B24" s="12">
        <f>SUMIF(INPUT_CARTEIRA!$C$4:$C$123,$A24,INPUT_CARTEIRA!$F$4:$F$123)</f>
        <v/>
      </c>
      <c r="C24" s="9">
        <f>MAXIFS(INPUT_CARTEIRA!$H$4:$H$123,INPUT_CARTEIRA!$C$4:$C$123,$A24)</f>
        <v/>
      </c>
      <c r="D24" s="10">
        <f>MAXIFS(CALC_PDD!$N$4:$N$123,CALC_PDD!$C$4:$C$123,$A24)</f>
        <v/>
      </c>
      <c r="E24" s="24">
        <f>$C24&gt;=PARAMETROS!$B$4</f>
        <v/>
      </c>
      <c r="F24" s="10">
        <f>IF($E24,$D24,0)</f>
        <v/>
      </c>
    </row>
    <row r="25">
      <c r="A25" t="inlineStr">
        <is>
          <t>DEV026</t>
        </is>
      </c>
      <c r="B25" s="12">
        <f>SUMIF(INPUT_CARTEIRA!$C$4:$C$123,$A25,INPUT_CARTEIRA!$F$4:$F$123)</f>
        <v/>
      </c>
      <c r="C25" s="9">
        <f>MAXIFS(INPUT_CARTEIRA!$H$4:$H$123,INPUT_CARTEIRA!$C$4:$C$123,$A25)</f>
        <v/>
      </c>
      <c r="D25" s="10">
        <f>MAXIFS(CALC_PDD!$N$4:$N$123,CALC_PDD!$C$4:$C$123,$A25)</f>
        <v/>
      </c>
      <c r="E25" s="24">
        <f>$C25&gt;=PARAMETROS!$B$4</f>
        <v/>
      </c>
      <c r="F25" s="10">
        <f>IF($E25,$D25,0)</f>
        <v/>
      </c>
    </row>
    <row r="26">
      <c r="A26" t="inlineStr">
        <is>
          <t>DEV027</t>
        </is>
      </c>
      <c r="B26" s="12">
        <f>SUMIF(INPUT_CARTEIRA!$C$4:$C$123,$A26,INPUT_CARTEIRA!$F$4:$F$123)</f>
        <v/>
      </c>
      <c r="C26" s="9">
        <f>MAXIFS(INPUT_CARTEIRA!$H$4:$H$123,INPUT_CARTEIRA!$C$4:$C$123,$A26)</f>
        <v/>
      </c>
      <c r="D26" s="10">
        <f>MAXIFS(CALC_PDD!$N$4:$N$123,CALC_PDD!$C$4:$C$123,$A26)</f>
        <v/>
      </c>
      <c r="E26" s="24">
        <f>$C26&gt;=PARAMETROS!$B$4</f>
        <v/>
      </c>
      <c r="F26" s="10">
        <f>IF($E26,$D26,0)</f>
        <v/>
      </c>
    </row>
    <row r="27">
      <c r="A27" t="inlineStr">
        <is>
          <t>DEV028</t>
        </is>
      </c>
      <c r="B27" s="12">
        <f>SUMIF(INPUT_CARTEIRA!$C$4:$C$123,$A27,INPUT_CARTEIRA!$F$4:$F$123)</f>
        <v/>
      </c>
      <c r="C27" s="9">
        <f>MAXIFS(INPUT_CARTEIRA!$H$4:$H$123,INPUT_CARTEIRA!$C$4:$C$123,$A27)</f>
        <v/>
      </c>
      <c r="D27" s="10">
        <f>MAXIFS(CALC_PDD!$N$4:$N$123,CALC_PDD!$C$4:$C$123,$A27)</f>
        <v/>
      </c>
      <c r="E27" s="24">
        <f>$C27&gt;=PARAMETROS!$B$4</f>
        <v/>
      </c>
      <c r="F27" s="10">
        <f>IF($E27,$D27,0)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6" customWidth="1" min="5" max="5"/>
    <col width="14" customWidth="1" min="6" max="6"/>
    <col width="12" customWidth="1" min="7" max="7"/>
    <col width="11" customWidth="1" min="8" max="8"/>
    <col width="18" customWidth="1" min="9" max="9"/>
    <col width="14" customWidth="1" min="10" max="10"/>
    <col width="14" customWidth="1" min="11" max="11"/>
    <col width="14" customWidth="1" min="12" max="12"/>
    <col width="10" customWidth="1" min="13" max="13"/>
    <col width="10" customWidth="1" min="14" max="14"/>
    <col width="16" customWidth="1" min="15" max="15"/>
    <col width="10" customWidth="1" min="16" max="16"/>
    <col width="14" customWidth="1" min="17" max="17"/>
    <col width="16" customWidth="1" min="18" max="18"/>
  </cols>
  <sheetData>
    <row r="1">
      <c r="A1" s="3" t="inlineStr">
        <is>
          <t>Cálculo — PDD Base + Ajuste por Efeito Vagão (por crédito)</t>
        </is>
      </c>
    </row>
    <row r="2"/>
    <row r="3">
      <c r="A3" s="8" t="inlineStr">
        <is>
          <t>Data_base</t>
        </is>
      </c>
      <c r="B3" s="8" t="inlineStr">
        <is>
          <t>ID_Crédito</t>
        </is>
      </c>
      <c r="C3" s="8" t="inlineStr">
        <is>
          <t>ID_Devedor</t>
        </is>
      </c>
      <c r="D3" s="8" t="inlineStr">
        <is>
          <t>Setor</t>
        </is>
      </c>
      <c r="E3" s="8" t="inlineStr">
        <is>
          <t>UF</t>
        </is>
      </c>
      <c r="F3" s="8" t="inlineStr">
        <is>
          <t>Saldo_bruto</t>
        </is>
      </c>
      <c r="G3" s="8" t="inlineStr">
        <is>
          <t>Vencimento</t>
        </is>
      </c>
      <c r="H3" s="8" t="inlineStr">
        <is>
          <t>Dias_atraso</t>
        </is>
      </c>
      <c r="I3" s="8" t="inlineStr">
        <is>
          <t>Garantia_tipo</t>
        </is>
      </c>
      <c r="J3" s="8" t="inlineStr">
        <is>
          <t>Valor_garantia</t>
        </is>
      </c>
      <c r="K3" s="8" t="inlineStr">
        <is>
          <t>Haircut_garantia</t>
        </is>
      </c>
      <c r="L3" s="8" t="inlineStr">
        <is>
          <t>Evento</t>
        </is>
      </c>
      <c r="M3" s="8" t="inlineStr">
        <is>
          <t>Bucket</t>
        </is>
      </c>
      <c r="N3" s="8" t="inlineStr">
        <is>
          <t>PDD%_base</t>
        </is>
      </c>
      <c r="O3" s="8" t="inlineStr">
        <is>
          <t>PDD%_devedor(vagão)</t>
        </is>
      </c>
      <c r="P3" s="8" t="inlineStr">
        <is>
          <t>PDD%_final</t>
        </is>
      </c>
      <c r="Q3" s="8" t="inlineStr">
        <is>
          <t>PDD_valor_final</t>
        </is>
      </c>
      <c r="R3" s="8" t="inlineStr">
        <is>
          <t>Inadimplente?(&gt;=corte)</t>
        </is>
      </c>
    </row>
    <row r="4">
      <c r="A4" s="23">
        <f>INPUT_CARTEIRA!A4</f>
        <v/>
      </c>
      <c r="B4" s="14">
        <f>INPUT_CARTEIRA!B4</f>
        <v/>
      </c>
      <c r="C4" s="14">
        <f>INPUT_CARTEIRA!C4</f>
        <v/>
      </c>
      <c r="D4">
        <f>INPUT_CARTEIRA!D4</f>
        <v/>
      </c>
      <c r="E4">
        <f>INPUT_CARTEIRA!E4</f>
        <v/>
      </c>
      <c r="F4" s="12">
        <f>INPUT_CARTEIRA!F4</f>
        <v/>
      </c>
      <c r="G4" s="23">
        <f>INPUT_CARTEIRA!G4</f>
        <v/>
      </c>
      <c r="H4" s="9">
        <f>INPUT_CARTEIRA!H4</f>
        <v/>
      </c>
      <c r="I4">
        <f>INPUT_CARTEIRA!I4</f>
        <v/>
      </c>
      <c r="J4" s="12">
        <f>INPUT_CARTEIRA!J4</f>
        <v/>
      </c>
      <c r="K4" s="10">
        <f>INPUT_CARTEIRA!K4</f>
        <v/>
      </c>
      <c r="L4">
        <f>INPUT_CARTEIRA!L4</f>
        <v/>
      </c>
      <c r="M4">
        <f>IF($H4=0,"0",IF($H4&lt;=30,"1-30",IF($H4&lt;=60,"31-60",IF($H4&lt;=90,"61-90",IF($H4&lt;=180,"91-180","&gt;180")))))</f>
        <v/>
      </c>
      <c r="N4" s="10">
        <f>VLOOKUP($H4,REGUA_PDD!$A$4:$B$9,2,TRUE)</f>
        <v/>
      </c>
      <c r="O4" s="10">
        <f>INDEX(EFEITO_VAGAO!$F$4:$F$27, MATCH($C4, EFEITO_VAGAO!$A$4:$A$27, 0))</f>
        <v/>
      </c>
      <c r="P4" s="10">
        <f>IF(PARAMETROS!$B$5="SIM",MAX($N4,$O4),$N4)</f>
        <v/>
      </c>
      <c r="Q4" s="12">
        <f>$F4*$P4</f>
        <v/>
      </c>
      <c r="R4">
        <f>$H4&gt;=PARAMETROS!$B$3</f>
        <v/>
      </c>
    </row>
    <row r="5">
      <c r="A5" s="23">
        <f>INPUT_CARTEIRA!A5</f>
        <v/>
      </c>
      <c r="B5" s="14">
        <f>INPUT_CARTEIRA!B5</f>
        <v/>
      </c>
      <c r="C5" s="14">
        <f>INPUT_CARTEIRA!C5</f>
        <v/>
      </c>
      <c r="D5">
        <f>INPUT_CARTEIRA!D5</f>
        <v/>
      </c>
      <c r="E5">
        <f>INPUT_CARTEIRA!E5</f>
        <v/>
      </c>
      <c r="F5" s="12">
        <f>INPUT_CARTEIRA!F5</f>
        <v/>
      </c>
      <c r="G5" s="23">
        <f>INPUT_CARTEIRA!G5</f>
        <v/>
      </c>
      <c r="H5" s="9">
        <f>INPUT_CARTEIRA!H5</f>
        <v/>
      </c>
      <c r="I5">
        <f>INPUT_CARTEIRA!I5</f>
        <v/>
      </c>
      <c r="J5" s="12">
        <f>INPUT_CARTEIRA!J5</f>
        <v/>
      </c>
      <c r="K5" s="10">
        <f>INPUT_CARTEIRA!K5</f>
        <v/>
      </c>
      <c r="L5">
        <f>INPUT_CARTEIRA!L5</f>
        <v/>
      </c>
      <c r="M5">
        <f>IF($H5=0,"0",IF($H5&lt;=30,"1-30",IF($H5&lt;=60,"31-60",IF($H5&lt;=90,"61-90",IF($H5&lt;=180,"91-180","&gt;180")))))</f>
        <v/>
      </c>
      <c r="N5" s="10">
        <f>VLOOKUP($H5,REGUA_PDD!$A$4:$B$9,2,TRUE)</f>
        <v/>
      </c>
      <c r="O5" s="10">
        <f>INDEX(EFEITO_VAGAO!$F$4:$F$27, MATCH($C5, EFEITO_VAGAO!$A$4:$A$27, 0))</f>
        <v/>
      </c>
      <c r="P5" s="10">
        <f>IF(PARAMETROS!$B$5="SIM",MAX($N5,$O5),$N5)</f>
        <v/>
      </c>
      <c r="Q5" s="12">
        <f>$F5*$P5</f>
        <v/>
      </c>
      <c r="R5">
        <f>$H5&gt;=PARAMETROS!$B$3</f>
        <v/>
      </c>
    </row>
    <row r="6">
      <c r="A6" s="23">
        <f>INPUT_CARTEIRA!A6</f>
        <v/>
      </c>
      <c r="B6" s="14">
        <f>INPUT_CARTEIRA!B6</f>
        <v/>
      </c>
      <c r="C6" s="14">
        <f>INPUT_CARTEIRA!C6</f>
        <v/>
      </c>
      <c r="D6">
        <f>INPUT_CARTEIRA!D6</f>
        <v/>
      </c>
      <c r="E6">
        <f>INPUT_CARTEIRA!E6</f>
        <v/>
      </c>
      <c r="F6" s="12">
        <f>INPUT_CARTEIRA!F6</f>
        <v/>
      </c>
      <c r="G6" s="23">
        <f>INPUT_CARTEIRA!G6</f>
        <v/>
      </c>
      <c r="H6" s="9">
        <f>INPUT_CARTEIRA!H6</f>
        <v/>
      </c>
      <c r="I6">
        <f>INPUT_CARTEIRA!I6</f>
        <v/>
      </c>
      <c r="J6" s="12">
        <f>INPUT_CARTEIRA!J6</f>
        <v/>
      </c>
      <c r="K6" s="10">
        <f>INPUT_CARTEIRA!K6</f>
        <v/>
      </c>
      <c r="L6">
        <f>INPUT_CARTEIRA!L6</f>
        <v/>
      </c>
      <c r="M6">
        <f>IF($H6=0,"0",IF($H6&lt;=30,"1-30",IF($H6&lt;=60,"31-60",IF($H6&lt;=90,"61-90",IF($H6&lt;=180,"91-180","&gt;180")))))</f>
        <v/>
      </c>
      <c r="N6" s="10">
        <f>VLOOKUP($H6,REGUA_PDD!$A$4:$B$9,2,TRUE)</f>
        <v/>
      </c>
      <c r="O6" s="10">
        <f>INDEX(EFEITO_VAGAO!$F$4:$F$27, MATCH($C6, EFEITO_VAGAO!$A$4:$A$27, 0))</f>
        <v/>
      </c>
      <c r="P6" s="10">
        <f>IF(PARAMETROS!$B$5="SIM",MAX($N6,$O6),$N6)</f>
        <v/>
      </c>
      <c r="Q6" s="12">
        <f>$F6*$P6</f>
        <v/>
      </c>
      <c r="R6">
        <f>$H6&gt;=PARAMETROS!$B$3</f>
        <v/>
      </c>
    </row>
    <row r="7">
      <c r="A7" s="23">
        <f>INPUT_CARTEIRA!A7</f>
        <v/>
      </c>
      <c r="B7" s="14">
        <f>INPUT_CARTEIRA!B7</f>
        <v/>
      </c>
      <c r="C7" s="14">
        <f>INPUT_CARTEIRA!C7</f>
        <v/>
      </c>
      <c r="D7">
        <f>INPUT_CARTEIRA!D7</f>
        <v/>
      </c>
      <c r="E7">
        <f>INPUT_CARTEIRA!E7</f>
        <v/>
      </c>
      <c r="F7" s="12">
        <f>INPUT_CARTEIRA!F7</f>
        <v/>
      </c>
      <c r="G7" s="23">
        <f>INPUT_CARTEIRA!G7</f>
        <v/>
      </c>
      <c r="H7" s="9">
        <f>INPUT_CARTEIRA!H7</f>
        <v/>
      </c>
      <c r="I7">
        <f>INPUT_CARTEIRA!I7</f>
        <v/>
      </c>
      <c r="J7" s="12">
        <f>INPUT_CARTEIRA!J7</f>
        <v/>
      </c>
      <c r="K7" s="10">
        <f>INPUT_CARTEIRA!K7</f>
        <v/>
      </c>
      <c r="L7">
        <f>INPUT_CARTEIRA!L7</f>
        <v/>
      </c>
      <c r="M7">
        <f>IF($H7=0,"0",IF($H7&lt;=30,"1-30",IF($H7&lt;=60,"31-60",IF($H7&lt;=90,"61-90",IF($H7&lt;=180,"91-180","&gt;180")))))</f>
        <v/>
      </c>
      <c r="N7" s="10">
        <f>VLOOKUP($H7,REGUA_PDD!$A$4:$B$9,2,TRUE)</f>
        <v/>
      </c>
      <c r="O7" s="10">
        <f>INDEX(EFEITO_VAGAO!$F$4:$F$27, MATCH($C7, EFEITO_VAGAO!$A$4:$A$27, 0))</f>
        <v/>
      </c>
      <c r="P7" s="10">
        <f>IF(PARAMETROS!$B$5="SIM",MAX($N7,$O7),$N7)</f>
        <v/>
      </c>
      <c r="Q7" s="12">
        <f>$F7*$P7</f>
        <v/>
      </c>
      <c r="R7">
        <f>$H7&gt;=PARAMETROS!$B$3</f>
        <v/>
      </c>
    </row>
    <row r="8">
      <c r="A8" s="23">
        <f>INPUT_CARTEIRA!A8</f>
        <v/>
      </c>
      <c r="B8" s="14">
        <f>INPUT_CARTEIRA!B8</f>
        <v/>
      </c>
      <c r="C8" s="14">
        <f>INPUT_CARTEIRA!C8</f>
        <v/>
      </c>
      <c r="D8">
        <f>INPUT_CARTEIRA!D8</f>
        <v/>
      </c>
      <c r="E8">
        <f>INPUT_CARTEIRA!E8</f>
        <v/>
      </c>
      <c r="F8" s="12">
        <f>INPUT_CARTEIRA!F8</f>
        <v/>
      </c>
      <c r="G8" s="23">
        <f>INPUT_CARTEIRA!G8</f>
        <v/>
      </c>
      <c r="H8" s="9">
        <f>INPUT_CARTEIRA!H8</f>
        <v/>
      </c>
      <c r="I8">
        <f>INPUT_CARTEIRA!I8</f>
        <v/>
      </c>
      <c r="J8" s="12">
        <f>INPUT_CARTEIRA!J8</f>
        <v/>
      </c>
      <c r="K8" s="10">
        <f>INPUT_CARTEIRA!K8</f>
        <v/>
      </c>
      <c r="L8">
        <f>INPUT_CARTEIRA!L8</f>
        <v/>
      </c>
      <c r="M8">
        <f>IF($H8=0,"0",IF($H8&lt;=30,"1-30",IF($H8&lt;=60,"31-60",IF($H8&lt;=90,"61-90",IF($H8&lt;=180,"91-180","&gt;180")))))</f>
        <v/>
      </c>
      <c r="N8" s="10">
        <f>VLOOKUP($H8,REGUA_PDD!$A$4:$B$9,2,TRUE)</f>
        <v/>
      </c>
      <c r="O8" s="10">
        <f>INDEX(EFEITO_VAGAO!$F$4:$F$27, MATCH($C8, EFEITO_VAGAO!$A$4:$A$27, 0))</f>
        <v/>
      </c>
      <c r="P8" s="10">
        <f>IF(PARAMETROS!$B$5="SIM",MAX($N8,$O8),$N8)</f>
        <v/>
      </c>
      <c r="Q8" s="12">
        <f>$F8*$P8</f>
        <v/>
      </c>
      <c r="R8">
        <f>$H8&gt;=PARAMETROS!$B$3</f>
        <v/>
      </c>
    </row>
    <row r="9">
      <c r="A9" s="23">
        <f>INPUT_CARTEIRA!A9</f>
        <v/>
      </c>
      <c r="B9" s="14">
        <f>INPUT_CARTEIRA!B9</f>
        <v/>
      </c>
      <c r="C9" s="14">
        <f>INPUT_CARTEIRA!C9</f>
        <v/>
      </c>
      <c r="D9">
        <f>INPUT_CARTEIRA!D9</f>
        <v/>
      </c>
      <c r="E9">
        <f>INPUT_CARTEIRA!E9</f>
        <v/>
      </c>
      <c r="F9" s="12">
        <f>INPUT_CARTEIRA!F9</f>
        <v/>
      </c>
      <c r="G9" s="23">
        <f>INPUT_CARTEIRA!G9</f>
        <v/>
      </c>
      <c r="H9" s="9">
        <f>INPUT_CARTEIRA!H9</f>
        <v/>
      </c>
      <c r="I9">
        <f>INPUT_CARTEIRA!I9</f>
        <v/>
      </c>
      <c r="J9" s="12">
        <f>INPUT_CARTEIRA!J9</f>
        <v/>
      </c>
      <c r="K9" s="10">
        <f>INPUT_CARTEIRA!K9</f>
        <v/>
      </c>
      <c r="L9">
        <f>INPUT_CARTEIRA!L9</f>
        <v/>
      </c>
      <c r="M9">
        <f>IF($H9=0,"0",IF($H9&lt;=30,"1-30",IF($H9&lt;=60,"31-60",IF($H9&lt;=90,"61-90",IF($H9&lt;=180,"91-180","&gt;180")))))</f>
        <v/>
      </c>
      <c r="N9" s="10">
        <f>VLOOKUP($H9,REGUA_PDD!$A$4:$B$9,2,TRUE)</f>
        <v/>
      </c>
      <c r="O9" s="10">
        <f>INDEX(EFEITO_VAGAO!$F$4:$F$27, MATCH($C9, EFEITO_VAGAO!$A$4:$A$27, 0))</f>
        <v/>
      </c>
      <c r="P9" s="10">
        <f>IF(PARAMETROS!$B$5="SIM",MAX($N9,$O9),$N9)</f>
        <v/>
      </c>
      <c r="Q9" s="12">
        <f>$F9*$P9</f>
        <v/>
      </c>
      <c r="R9">
        <f>$H9&gt;=PARAMETROS!$B$3</f>
        <v/>
      </c>
    </row>
    <row r="10">
      <c r="A10" s="23">
        <f>INPUT_CARTEIRA!A10</f>
        <v/>
      </c>
      <c r="B10" s="14">
        <f>INPUT_CARTEIRA!B10</f>
        <v/>
      </c>
      <c r="C10" s="14">
        <f>INPUT_CARTEIRA!C10</f>
        <v/>
      </c>
      <c r="D10">
        <f>INPUT_CARTEIRA!D10</f>
        <v/>
      </c>
      <c r="E10">
        <f>INPUT_CARTEIRA!E10</f>
        <v/>
      </c>
      <c r="F10" s="12">
        <f>INPUT_CARTEIRA!F10</f>
        <v/>
      </c>
      <c r="G10" s="23">
        <f>INPUT_CARTEIRA!G10</f>
        <v/>
      </c>
      <c r="H10" s="9">
        <f>INPUT_CARTEIRA!H10</f>
        <v/>
      </c>
      <c r="I10">
        <f>INPUT_CARTEIRA!I10</f>
        <v/>
      </c>
      <c r="J10" s="12">
        <f>INPUT_CARTEIRA!J10</f>
        <v/>
      </c>
      <c r="K10" s="10">
        <f>INPUT_CARTEIRA!K10</f>
        <v/>
      </c>
      <c r="L10">
        <f>INPUT_CARTEIRA!L10</f>
        <v/>
      </c>
      <c r="M10">
        <f>IF($H10=0,"0",IF($H10&lt;=30,"1-30",IF($H10&lt;=60,"31-60",IF($H10&lt;=90,"61-90",IF($H10&lt;=180,"91-180","&gt;180")))))</f>
        <v/>
      </c>
      <c r="N10" s="10">
        <f>VLOOKUP($H10,REGUA_PDD!$A$4:$B$9,2,TRUE)</f>
        <v/>
      </c>
      <c r="O10" s="10">
        <f>INDEX(EFEITO_VAGAO!$F$4:$F$27, MATCH($C10, EFEITO_VAGAO!$A$4:$A$27, 0))</f>
        <v/>
      </c>
      <c r="P10" s="10">
        <f>IF(PARAMETROS!$B$5="SIM",MAX($N10,$O10),$N10)</f>
        <v/>
      </c>
      <c r="Q10" s="12">
        <f>$F10*$P10</f>
        <v/>
      </c>
      <c r="R10">
        <f>$H10&gt;=PARAMETROS!$B$3</f>
        <v/>
      </c>
    </row>
    <row r="11">
      <c r="A11" s="23">
        <f>INPUT_CARTEIRA!A11</f>
        <v/>
      </c>
      <c r="B11" s="14">
        <f>INPUT_CARTEIRA!B11</f>
        <v/>
      </c>
      <c r="C11" s="14">
        <f>INPUT_CARTEIRA!C11</f>
        <v/>
      </c>
      <c r="D11">
        <f>INPUT_CARTEIRA!D11</f>
        <v/>
      </c>
      <c r="E11">
        <f>INPUT_CARTEIRA!E11</f>
        <v/>
      </c>
      <c r="F11" s="12">
        <f>INPUT_CARTEIRA!F11</f>
        <v/>
      </c>
      <c r="G11" s="23">
        <f>INPUT_CARTEIRA!G11</f>
        <v/>
      </c>
      <c r="H11" s="9">
        <f>INPUT_CARTEIRA!H11</f>
        <v/>
      </c>
      <c r="I11">
        <f>INPUT_CARTEIRA!I11</f>
        <v/>
      </c>
      <c r="J11" s="12">
        <f>INPUT_CARTEIRA!J11</f>
        <v/>
      </c>
      <c r="K11" s="10">
        <f>INPUT_CARTEIRA!K11</f>
        <v/>
      </c>
      <c r="L11">
        <f>INPUT_CARTEIRA!L11</f>
        <v/>
      </c>
      <c r="M11">
        <f>IF($H11=0,"0",IF($H11&lt;=30,"1-30",IF($H11&lt;=60,"31-60",IF($H11&lt;=90,"61-90",IF($H11&lt;=180,"91-180","&gt;180")))))</f>
        <v/>
      </c>
      <c r="N11" s="10">
        <f>VLOOKUP($H11,REGUA_PDD!$A$4:$B$9,2,TRUE)</f>
        <v/>
      </c>
      <c r="O11" s="10">
        <f>INDEX(EFEITO_VAGAO!$F$4:$F$27, MATCH($C11, EFEITO_VAGAO!$A$4:$A$27, 0))</f>
        <v/>
      </c>
      <c r="P11" s="10">
        <f>IF(PARAMETROS!$B$5="SIM",MAX($N11,$O11),$N11)</f>
        <v/>
      </c>
      <c r="Q11" s="12">
        <f>$F11*$P11</f>
        <v/>
      </c>
      <c r="R11">
        <f>$H11&gt;=PARAMETROS!$B$3</f>
        <v/>
      </c>
    </row>
    <row r="12">
      <c r="A12" s="23">
        <f>INPUT_CARTEIRA!A12</f>
        <v/>
      </c>
      <c r="B12" s="14">
        <f>INPUT_CARTEIRA!B12</f>
        <v/>
      </c>
      <c r="C12" s="14">
        <f>INPUT_CARTEIRA!C12</f>
        <v/>
      </c>
      <c r="D12">
        <f>INPUT_CARTEIRA!D12</f>
        <v/>
      </c>
      <c r="E12">
        <f>INPUT_CARTEIRA!E12</f>
        <v/>
      </c>
      <c r="F12" s="12">
        <f>INPUT_CARTEIRA!F12</f>
        <v/>
      </c>
      <c r="G12" s="23">
        <f>INPUT_CARTEIRA!G12</f>
        <v/>
      </c>
      <c r="H12" s="9">
        <f>INPUT_CARTEIRA!H12</f>
        <v/>
      </c>
      <c r="I12">
        <f>INPUT_CARTEIRA!I12</f>
        <v/>
      </c>
      <c r="J12" s="12">
        <f>INPUT_CARTEIRA!J12</f>
        <v/>
      </c>
      <c r="K12" s="10">
        <f>INPUT_CARTEIRA!K12</f>
        <v/>
      </c>
      <c r="L12">
        <f>INPUT_CARTEIRA!L12</f>
        <v/>
      </c>
      <c r="M12">
        <f>IF($H12=0,"0",IF($H12&lt;=30,"1-30",IF($H12&lt;=60,"31-60",IF($H12&lt;=90,"61-90",IF($H12&lt;=180,"91-180","&gt;180")))))</f>
        <v/>
      </c>
      <c r="N12" s="10">
        <f>VLOOKUP($H12,REGUA_PDD!$A$4:$B$9,2,TRUE)</f>
        <v/>
      </c>
      <c r="O12" s="10">
        <f>INDEX(EFEITO_VAGAO!$F$4:$F$27, MATCH($C12, EFEITO_VAGAO!$A$4:$A$27, 0))</f>
        <v/>
      </c>
      <c r="P12" s="10">
        <f>IF(PARAMETROS!$B$5="SIM",MAX($N12,$O12),$N12)</f>
        <v/>
      </c>
      <c r="Q12" s="12">
        <f>$F12*$P12</f>
        <v/>
      </c>
      <c r="R12">
        <f>$H12&gt;=PARAMETROS!$B$3</f>
        <v/>
      </c>
    </row>
    <row r="13">
      <c r="A13" s="23">
        <f>INPUT_CARTEIRA!A13</f>
        <v/>
      </c>
      <c r="B13" s="14">
        <f>INPUT_CARTEIRA!B13</f>
        <v/>
      </c>
      <c r="C13" s="14">
        <f>INPUT_CARTEIRA!C13</f>
        <v/>
      </c>
      <c r="D13">
        <f>INPUT_CARTEIRA!D13</f>
        <v/>
      </c>
      <c r="E13">
        <f>INPUT_CARTEIRA!E13</f>
        <v/>
      </c>
      <c r="F13" s="12">
        <f>INPUT_CARTEIRA!F13</f>
        <v/>
      </c>
      <c r="G13" s="23">
        <f>INPUT_CARTEIRA!G13</f>
        <v/>
      </c>
      <c r="H13" s="9">
        <f>INPUT_CARTEIRA!H13</f>
        <v/>
      </c>
      <c r="I13">
        <f>INPUT_CARTEIRA!I13</f>
        <v/>
      </c>
      <c r="J13" s="12">
        <f>INPUT_CARTEIRA!J13</f>
        <v/>
      </c>
      <c r="K13" s="10">
        <f>INPUT_CARTEIRA!K13</f>
        <v/>
      </c>
      <c r="L13">
        <f>INPUT_CARTEIRA!L13</f>
        <v/>
      </c>
      <c r="M13">
        <f>IF($H13=0,"0",IF($H13&lt;=30,"1-30",IF($H13&lt;=60,"31-60",IF($H13&lt;=90,"61-90",IF($H13&lt;=180,"91-180","&gt;180")))))</f>
        <v/>
      </c>
      <c r="N13" s="10">
        <f>VLOOKUP($H13,REGUA_PDD!$A$4:$B$9,2,TRUE)</f>
        <v/>
      </c>
      <c r="O13" s="10">
        <f>INDEX(EFEITO_VAGAO!$F$4:$F$27, MATCH($C13, EFEITO_VAGAO!$A$4:$A$27, 0))</f>
        <v/>
      </c>
      <c r="P13" s="10">
        <f>IF(PARAMETROS!$B$5="SIM",MAX($N13,$O13),$N13)</f>
        <v/>
      </c>
      <c r="Q13" s="12">
        <f>$F13*$P13</f>
        <v/>
      </c>
      <c r="R13">
        <f>$H13&gt;=PARAMETROS!$B$3</f>
        <v/>
      </c>
    </row>
    <row r="14">
      <c r="A14" s="23">
        <f>INPUT_CARTEIRA!A14</f>
        <v/>
      </c>
      <c r="B14" s="14">
        <f>INPUT_CARTEIRA!B14</f>
        <v/>
      </c>
      <c r="C14" s="14">
        <f>INPUT_CARTEIRA!C14</f>
        <v/>
      </c>
      <c r="D14">
        <f>INPUT_CARTEIRA!D14</f>
        <v/>
      </c>
      <c r="E14">
        <f>INPUT_CARTEIRA!E14</f>
        <v/>
      </c>
      <c r="F14" s="12">
        <f>INPUT_CARTEIRA!F14</f>
        <v/>
      </c>
      <c r="G14" s="23">
        <f>INPUT_CARTEIRA!G14</f>
        <v/>
      </c>
      <c r="H14" s="9">
        <f>INPUT_CARTEIRA!H14</f>
        <v/>
      </c>
      <c r="I14">
        <f>INPUT_CARTEIRA!I14</f>
        <v/>
      </c>
      <c r="J14" s="12">
        <f>INPUT_CARTEIRA!J14</f>
        <v/>
      </c>
      <c r="K14" s="10">
        <f>INPUT_CARTEIRA!K14</f>
        <v/>
      </c>
      <c r="L14">
        <f>INPUT_CARTEIRA!L14</f>
        <v/>
      </c>
      <c r="M14">
        <f>IF($H14=0,"0",IF($H14&lt;=30,"1-30",IF($H14&lt;=60,"31-60",IF($H14&lt;=90,"61-90",IF($H14&lt;=180,"91-180","&gt;180")))))</f>
        <v/>
      </c>
      <c r="N14" s="10">
        <f>VLOOKUP($H14,REGUA_PDD!$A$4:$B$9,2,TRUE)</f>
        <v/>
      </c>
      <c r="O14" s="10">
        <f>INDEX(EFEITO_VAGAO!$F$4:$F$27, MATCH($C14, EFEITO_VAGAO!$A$4:$A$27, 0))</f>
        <v/>
      </c>
      <c r="P14" s="10">
        <f>IF(PARAMETROS!$B$5="SIM",MAX($N14,$O14),$N14)</f>
        <v/>
      </c>
      <c r="Q14" s="12">
        <f>$F14*$P14</f>
        <v/>
      </c>
      <c r="R14">
        <f>$H14&gt;=PARAMETROS!$B$3</f>
        <v/>
      </c>
    </row>
    <row r="15">
      <c r="A15" s="23">
        <f>INPUT_CARTEIRA!A15</f>
        <v/>
      </c>
      <c r="B15" s="14">
        <f>INPUT_CARTEIRA!B15</f>
        <v/>
      </c>
      <c r="C15" s="14">
        <f>INPUT_CARTEIRA!C15</f>
        <v/>
      </c>
      <c r="D15">
        <f>INPUT_CARTEIRA!D15</f>
        <v/>
      </c>
      <c r="E15">
        <f>INPUT_CARTEIRA!E15</f>
        <v/>
      </c>
      <c r="F15" s="12">
        <f>INPUT_CARTEIRA!F15</f>
        <v/>
      </c>
      <c r="G15" s="23">
        <f>INPUT_CARTEIRA!G15</f>
        <v/>
      </c>
      <c r="H15" s="9">
        <f>INPUT_CARTEIRA!H15</f>
        <v/>
      </c>
      <c r="I15">
        <f>INPUT_CARTEIRA!I15</f>
        <v/>
      </c>
      <c r="J15" s="12">
        <f>INPUT_CARTEIRA!J15</f>
        <v/>
      </c>
      <c r="K15" s="10">
        <f>INPUT_CARTEIRA!K15</f>
        <v/>
      </c>
      <c r="L15">
        <f>INPUT_CARTEIRA!L15</f>
        <v/>
      </c>
      <c r="M15">
        <f>IF($H15=0,"0",IF($H15&lt;=30,"1-30",IF($H15&lt;=60,"31-60",IF($H15&lt;=90,"61-90",IF($H15&lt;=180,"91-180","&gt;180")))))</f>
        <v/>
      </c>
      <c r="N15" s="10">
        <f>VLOOKUP($H15,REGUA_PDD!$A$4:$B$9,2,TRUE)</f>
        <v/>
      </c>
      <c r="O15" s="10">
        <f>INDEX(EFEITO_VAGAO!$F$4:$F$27, MATCH($C15, EFEITO_VAGAO!$A$4:$A$27, 0))</f>
        <v/>
      </c>
      <c r="P15" s="10">
        <f>IF(PARAMETROS!$B$5="SIM",MAX($N15,$O15),$N15)</f>
        <v/>
      </c>
      <c r="Q15" s="12">
        <f>$F15*$P15</f>
        <v/>
      </c>
      <c r="R15">
        <f>$H15&gt;=PARAMETROS!$B$3</f>
        <v/>
      </c>
    </row>
    <row r="16">
      <c r="A16" s="23">
        <f>INPUT_CARTEIRA!A16</f>
        <v/>
      </c>
      <c r="B16" s="14">
        <f>INPUT_CARTEIRA!B16</f>
        <v/>
      </c>
      <c r="C16" s="14">
        <f>INPUT_CARTEIRA!C16</f>
        <v/>
      </c>
      <c r="D16">
        <f>INPUT_CARTEIRA!D16</f>
        <v/>
      </c>
      <c r="E16">
        <f>INPUT_CARTEIRA!E16</f>
        <v/>
      </c>
      <c r="F16" s="12">
        <f>INPUT_CARTEIRA!F16</f>
        <v/>
      </c>
      <c r="G16" s="23">
        <f>INPUT_CARTEIRA!G16</f>
        <v/>
      </c>
      <c r="H16" s="9">
        <f>INPUT_CARTEIRA!H16</f>
        <v/>
      </c>
      <c r="I16">
        <f>INPUT_CARTEIRA!I16</f>
        <v/>
      </c>
      <c r="J16" s="12">
        <f>INPUT_CARTEIRA!J16</f>
        <v/>
      </c>
      <c r="K16" s="10">
        <f>INPUT_CARTEIRA!K16</f>
        <v/>
      </c>
      <c r="L16">
        <f>INPUT_CARTEIRA!L16</f>
        <v/>
      </c>
      <c r="M16">
        <f>IF($H16=0,"0",IF($H16&lt;=30,"1-30",IF($H16&lt;=60,"31-60",IF($H16&lt;=90,"61-90",IF($H16&lt;=180,"91-180","&gt;180")))))</f>
        <v/>
      </c>
      <c r="N16" s="10">
        <f>VLOOKUP($H16,REGUA_PDD!$A$4:$B$9,2,TRUE)</f>
        <v/>
      </c>
      <c r="O16" s="10">
        <f>INDEX(EFEITO_VAGAO!$F$4:$F$27, MATCH($C16, EFEITO_VAGAO!$A$4:$A$27, 0))</f>
        <v/>
      </c>
      <c r="P16" s="10">
        <f>IF(PARAMETROS!$B$5="SIM",MAX($N16,$O16),$N16)</f>
        <v/>
      </c>
      <c r="Q16" s="12">
        <f>$F16*$P16</f>
        <v/>
      </c>
      <c r="R16">
        <f>$H16&gt;=PARAMETROS!$B$3</f>
        <v/>
      </c>
    </row>
    <row r="17">
      <c r="A17" s="23">
        <f>INPUT_CARTEIRA!A17</f>
        <v/>
      </c>
      <c r="B17" s="14">
        <f>INPUT_CARTEIRA!B17</f>
        <v/>
      </c>
      <c r="C17" s="14">
        <f>INPUT_CARTEIRA!C17</f>
        <v/>
      </c>
      <c r="D17">
        <f>INPUT_CARTEIRA!D17</f>
        <v/>
      </c>
      <c r="E17">
        <f>INPUT_CARTEIRA!E17</f>
        <v/>
      </c>
      <c r="F17" s="12">
        <f>INPUT_CARTEIRA!F17</f>
        <v/>
      </c>
      <c r="G17" s="23">
        <f>INPUT_CARTEIRA!G17</f>
        <v/>
      </c>
      <c r="H17" s="9">
        <f>INPUT_CARTEIRA!H17</f>
        <v/>
      </c>
      <c r="I17">
        <f>INPUT_CARTEIRA!I17</f>
        <v/>
      </c>
      <c r="J17" s="12">
        <f>INPUT_CARTEIRA!J17</f>
        <v/>
      </c>
      <c r="K17" s="10">
        <f>INPUT_CARTEIRA!K17</f>
        <v/>
      </c>
      <c r="L17">
        <f>INPUT_CARTEIRA!L17</f>
        <v/>
      </c>
      <c r="M17">
        <f>IF($H17=0,"0",IF($H17&lt;=30,"1-30",IF($H17&lt;=60,"31-60",IF($H17&lt;=90,"61-90",IF($H17&lt;=180,"91-180","&gt;180")))))</f>
        <v/>
      </c>
      <c r="N17" s="10">
        <f>VLOOKUP($H17,REGUA_PDD!$A$4:$B$9,2,TRUE)</f>
        <v/>
      </c>
      <c r="O17" s="10">
        <f>INDEX(EFEITO_VAGAO!$F$4:$F$27, MATCH($C17, EFEITO_VAGAO!$A$4:$A$27, 0))</f>
        <v/>
      </c>
      <c r="P17" s="10">
        <f>IF(PARAMETROS!$B$5="SIM",MAX($N17,$O17),$N17)</f>
        <v/>
      </c>
      <c r="Q17" s="12">
        <f>$F17*$P17</f>
        <v/>
      </c>
      <c r="R17">
        <f>$H17&gt;=PARAMETROS!$B$3</f>
        <v/>
      </c>
    </row>
    <row r="18">
      <c r="A18" s="23">
        <f>INPUT_CARTEIRA!A18</f>
        <v/>
      </c>
      <c r="B18" s="14">
        <f>INPUT_CARTEIRA!B18</f>
        <v/>
      </c>
      <c r="C18" s="14">
        <f>INPUT_CARTEIRA!C18</f>
        <v/>
      </c>
      <c r="D18">
        <f>INPUT_CARTEIRA!D18</f>
        <v/>
      </c>
      <c r="E18">
        <f>INPUT_CARTEIRA!E18</f>
        <v/>
      </c>
      <c r="F18" s="12">
        <f>INPUT_CARTEIRA!F18</f>
        <v/>
      </c>
      <c r="G18" s="23">
        <f>INPUT_CARTEIRA!G18</f>
        <v/>
      </c>
      <c r="H18" s="9">
        <f>INPUT_CARTEIRA!H18</f>
        <v/>
      </c>
      <c r="I18">
        <f>INPUT_CARTEIRA!I18</f>
        <v/>
      </c>
      <c r="J18" s="12">
        <f>INPUT_CARTEIRA!J18</f>
        <v/>
      </c>
      <c r="K18" s="10">
        <f>INPUT_CARTEIRA!K18</f>
        <v/>
      </c>
      <c r="L18">
        <f>INPUT_CARTEIRA!L18</f>
        <v/>
      </c>
      <c r="M18">
        <f>IF($H18=0,"0",IF($H18&lt;=30,"1-30",IF($H18&lt;=60,"31-60",IF($H18&lt;=90,"61-90",IF($H18&lt;=180,"91-180","&gt;180")))))</f>
        <v/>
      </c>
      <c r="N18" s="10">
        <f>VLOOKUP($H18,REGUA_PDD!$A$4:$B$9,2,TRUE)</f>
        <v/>
      </c>
      <c r="O18" s="10">
        <f>INDEX(EFEITO_VAGAO!$F$4:$F$27, MATCH($C18, EFEITO_VAGAO!$A$4:$A$27, 0))</f>
        <v/>
      </c>
      <c r="P18" s="10">
        <f>IF(PARAMETROS!$B$5="SIM",MAX($N18,$O18),$N18)</f>
        <v/>
      </c>
      <c r="Q18" s="12">
        <f>$F18*$P18</f>
        <v/>
      </c>
      <c r="R18">
        <f>$H18&gt;=PARAMETROS!$B$3</f>
        <v/>
      </c>
    </row>
    <row r="19">
      <c r="A19" s="23">
        <f>INPUT_CARTEIRA!A19</f>
        <v/>
      </c>
      <c r="B19" s="14">
        <f>INPUT_CARTEIRA!B19</f>
        <v/>
      </c>
      <c r="C19" s="14">
        <f>INPUT_CARTEIRA!C19</f>
        <v/>
      </c>
      <c r="D19">
        <f>INPUT_CARTEIRA!D19</f>
        <v/>
      </c>
      <c r="E19">
        <f>INPUT_CARTEIRA!E19</f>
        <v/>
      </c>
      <c r="F19" s="12">
        <f>INPUT_CARTEIRA!F19</f>
        <v/>
      </c>
      <c r="G19" s="23">
        <f>INPUT_CARTEIRA!G19</f>
        <v/>
      </c>
      <c r="H19" s="9">
        <f>INPUT_CARTEIRA!H19</f>
        <v/>
      </c>
      <c r="I19">
        <f>INPUT_CARTEIRA!I19</f>
        <v/>
      </c>
      <c r="J19" s="12">
        <f>INPUT_CARTEIRA!J19</f>
        <v/>
      </c>
      <c r="K19" s="10">
        <f>INPUT_CARTEIRA!K19</f>
        <v/>
      </c>
      <c r="L19">
        <f>INPUT_CARTEIRA!L19</f>
        <v/>
      </c>
      <c r="M19">
        <f>IF($H19=0,"0",IF($H19&lt;=30,"1-30",IF($H19&lt;=60,"31-60",IF($H19&lt;=90,"61-90",IF($H19&lt;=180,"91-180","&gt;180")))))</f>
        <v/>
      </c>
      <c r="N19" s="10">
        <f>VLOOKUP($H19,REGUA_PDD!$A$4:$B$9,2,TRUE)</f>
        <v/>
      </c>
      <c r="O19" s="10">
        <f>INDEX(EFEITO_VAGAO!$F$4:$F$27, MATCH($C19, EFEITO_VAGAO!$A$4:$A$27, 0))</f>
        <v/>
      </c>
      <c r="P19" s="10">
        <f>IF(PARAMETROS!$B$5="SIM",MAX($N19,$O19),$N19)</f>
        <v/>
      </c>
      <c r="Q19" s="12">
        <f>$F19*$P19</f>
        <v/>
      </c>
      <c r="R19">
        <f>$H19&gt;=PARAMETROS!$B$3</f>
        <v/>
      </c>
    </row>
    <row r="20">
      <c r="A20" s="23">
        <f>INPUT_CARTEIRA!A20</f>
        <v/>
      </c>
      <c r="B20" s="14">
        <f>INPUT_CARTEIRA!B20</f>
        <v/>
      </c>
      <c r="C20" s="14">
        <f>INPUT_CARTEIRA!C20</f>
        <v/>
      </c>
      <c r="D20">
        <f>INPUT_CARTEIRA!D20</f>
        <v/>
      </c>
      <c r="E20">
        <f>INPUT_CARTEIRA!E20</f>
        <v/>
      </c>
      <c r="F20" s="12">
        <f>INPUT_CARTEIRA!F20</f>
        <v/>
      </c>
      <c r="G20" s="23">
        <f>INPUT_CARTEIRA!G20</f>
        <v/>
      </c>
      <c r="H20" s="9">
        <f>INPUT_CARTEIRA!H20</f>
        <v/>
      </c>
      <c r="I20">
        <f>INPUT_CARTEIRA!I20</f>
        <v/>
      </c>
      <c r="J20" s="12">
        <f>INPUT_CARTEIRA!J20</f>
        <v/>
      </c>
      <c r="K20" s="10">
        <f>INPUT_CARTEIRA!K20</f>
        <v/>
      </c>
      <c r="L20">
        <f>INPUT_CARTEIRA!L20</f>
        <v/>
      </c>
      <c r="M20">
        <f>IF($H20=0,"0",IF($H20&lt;=30,"1-30",IF($H20&lt;=60,"31-60",IF($H20&lt;=90,"61-90",IF($H20&lt;=180,"91-180","&gt;180")))))</f>
        <v/>
      </c>
      <c r="N20" s="10">
        <f>VLOOKUP($H20,REGUA_PDD!$A$4:$B$9,2,TRUE)</f>
        <v/>
      </c>
      <c r="O20" s="10">
        <f>INDEX(EFEITO_VAGAO!$F$4:$F$27, MATCH($C20, EFEITO_VAGAO!$A$4:$A$27, 0))</f>
        <v/>
      </c>
      <c r="P20" s="10">
        <f>IF(PARAMETROS!$B$5="SIM",MAX($N20,$O20),$N20)</f>
        <v/>
      </c>
      <c r="Q20" s="12">
        <f>$F20*$P20</f>
        <v/>
      </c>
      <c r="R20">
        <f>$H20&gt;=PARAMETROS!$B$3</f>
        <v/>
      </c>
    </row>
    <row r="21">
      <c r="A21" s="23">
        <f>INPUT_CARTEIRA!A21</f>
        <v/>
      </c>
      <c r="B21" s="14">
        <f>INPUT_CARTEIRA!B21</f>
        <v/>
      </c>
      <c r="C21" s="14">
        <f>INPUT_CARTEIRA!C21</f>
        <v/>
      </c>
      <c r="D21">
        <f>INPUT_CARTEIRA!D21</f>
        <v/>
      </c>
      <c r="E21">
        <f>INPUT_CARTEIRA!E21</f>
        <v/>
      </c>
      <c r="F21" s="12">
        <f>INPUT_CARTEIRA!F21</f>
        <v/>
      </c>
      <c r="G21" s="23">
        <f>INPUT_CARTEIRA!G21</f>
        <v/>
      </c>
      <c r="H21" s="9">
        <f>INPUT_CARTEIRA!H21</f>
        <v/>
      </c>
      <c r="I21">
        <f>INPUT_CARTEIRA!I21</f>
        <v/>
      </c>
      <c r="J21" s="12">
        <f>INPUT_CARTEIRA!J21</f>
        <v/>
      </c>
      <c r="K21" s="10">
        <f>INPUT_CARTEIRA!K21</f>
        <v/>
      </c>
      <c r="L21">
        <f>INPUT_CARTEIRA!L21</f>
        <v/>
      </c>
      <c r="M21">
        <f>IF($H21=0,"0",IF($H21&lt;=30,"1-30",IF($H21&lt;=60,"31-60",IF($H21&lt;=90,"61-90",IF($H21&lt;=180,"91-180","&gt;180")))))</f>
        <v/>
      </c>
      <c r="N21" s="10">
        <f>VLOOKUP($H21,REGUA_PDD!$A$4:$B$9,2,TRUE)</f>
        <v/>
      </c>
      <c r="O21" s="10">
        <f>INDEX(EFEITO_VAGAO!$F$4:$F$27, MATCH($C21, EFEITO_VAGAO!$A$4:$A$27, 0))</f>
        <v/>
      </c>
      <c r="P21" s="10">
        <f>IF(PARAMETROS!$B$5="SIM",MAX($N21,$O21),$N21)</f>
        <v/>
      </c>
      <c r="Q21" s="12">
        <f>$F21*$P21</f>
        <v/>
      </c>
      <c r="R21">
        <f>$H21&gt;=PARAMETROS!$B$3</f>
        <v/>
      </c>
    </row>
    <row r="22">
      <c r="A22" s="23">
        <f>INPUT_CARTEIRA!A22</f>
        <v/>
      </c>
      <c r="B22" s="14">
        <f>INPUT_CARTEIRA!B22</f>
        <v/>
      </c>
      <c r="C22" s="14">
        <f>INPUT_CARTEIRA!C22</f>
        <v/>
      </c>
      <c r="D22">
        <f>INPUT_CARTEIRA!D22</f>
        <v/>
      </c>
      <c r="E22">
        <f>INPUT_CARTEIRA!E22</f>
        <v/>
      </c>
      <c r="F22" s="12">
        <f>INPUT_CARTEIRA!F22</f>
        <v/>
      </c>
      <c r="G22" s="23">
        <f>INPUT_CARTEIRA!G22</f>
        <v/>
      </c>
      <c r="H22" s="9">
        <f>INPUT_CARTEIRA!H22</f>
        <v/>
      </c>
      <c r="I22">
        <f>INPUT_CARTEIRA!I22</f>
        <v/>
      </c>
      <c r="J22" s="12">
        <f>INPUT_CARTEIRA!J22</f>
        <v/>
      </c>
      <c r="K22" s="10">
        <f>INPUT_CARTEIRA!K22</f>
        <v/>
      </c>
      <c r="L22">
        <f>INPUT_CARTEIRA!L22</f>
        <v/>
      </c>
      <c r="M22">
        <f>IF($H22=0,"0",IF($H22&lt;=30,"1-30",IF($H22&lt;=60,"31-60",IF($H22&lt;=90,"61-90",IF($H22&lt;=180,"91-180","&gt;180")))))</f>
        <v/>
      </c>
      <c r="N22" s="10">
        <f>VLOOKUP($H22,REGUA_PDD!$A$4:$B$9,2,TRUE)</f>
        <v/>
      </c>
      <c r="O22" s="10">
        <f>INDEX(EFEITO_VAGAO!$F$4:$F$27, MATCH($C22, EFEITO_VAGAO!$A$4:$A$27, 0))</f>
        <v/>
      </c>
      <c r="P22" s="10">
        <f>IF(PARAMETROS!$B$5="SIM",MAX($N22,$O22),$N22)</f>
        <v/>
      </c>
      <c r="Q22" s="12">
        <f>$F22*$P22</f>
        <v/>
      </c>
      <c r="R22">
        <f>$H22&gt;=PARAMETROS!$B$3</f>
        <v/>
      </c>
    </row>
    <row r="23">
      <c r="A23" s="23">
        <f>INPUT_CARTEIRA!A23</f>
        <v/>
      </c>
      <c r="B23" s="14">
        <f>INPUT_CARTEIRA!B23</f>
        <v/>
      </c>
      <c r="C23" s="14">
        <f>INPUT_CARTEIRA!C23</f>
        <v/>
      </c>
      <c r="D23">
        <f>INPUT_CARTEIRA!D23</f>
        <v/>
      </c>
      <c r="E23">
        <f>INPUT_CARTEIRA!E23</f>
        <v/>
      </c>
      <c r="F23" s="12">
        <f>INPUT_CARTEIRA!F23</f>
        <v/>
      </c>
      <c r="G23" s="23">
        <f>INPUT_CARTEIRA!G23</f>
        <v/>
      </c>
      <c r="H23" s="9">
        <f>INPUT_CARTEIRA!H23</f>
        <v/>
      </c>
      <c r="I23">
        <f>INPUT_CARTEIRA!I23</f>
        <v/>
      </c>
      <c r="J23" s="12">
        <f>INPUT_CARTEIRA!J23</f>
        <v/>
      </c>
      <c r="K23" s="10">
        <f>INPUT_CARTEIRA!K23</f>
        <v/>
      </c>
      <c r="L23">
        <f>INPUT_CARTEIRA!L23</f>
        <v/>
      </c>
      <c r="M23">
        <f>IF($H23=0,"0",IF($H23&lt;=30,"1-30",IF($H23&lt;=60,"31-60",IF($H23&lt;=90,"61-90",IF($H23&lt;=180,"91-180","&gt;180")))))</f>
        <v/>
      </c>
      <c r="N23" s="10">
        <f>VLOOKUP($H23,REGUA_PDD!$A$4:$B$9,2,TRUE)</f>
        <v/>
      </c>
      <c r="O23" s="10">
        <f>INDEX(EFEITO_VAGAO!$F$4:$F$27, MATCH($C23, EFEITO_VAGAO!$A$4:$A$27, 0))</f>
        <v/>
      </c>
      <c r="P23" s="10">
        <f>IF(PARAMETROS!$B$5="SIM",MAX($N23,$O23),$N23)</f>
        <v/>
      </c>
      <c r="Q23" s="12">
        <f>$F23*$P23</f>
        <v/>
      </c>
      <c r="R23">
        <f>$H23&gt;=PARAMETROS!$B$3</f>
        <v/>
      </c>
    </row>
    <row r="24">
      <c r="A24" s="23">
        <f>INPUT_CARTEIRA!A24</f>
        <v/>
      </c>
      <c r="B24" s="14">
        <f>INPUT_CARTEIRA!B24</f>
        <v/>
      </c>
      <c r="C24" s="14">
        <f>INPUT_CARTEIRA!C24</f>
        <v/>
      </c>
      <c r="D24">
        <f>INPUT_CARTEIRA!D24</f>
        <v/>
      </c>
      <c r="E24">
        <f>INPUT_CARTEIRA!E24</f>
        <v/>
      </c>
      <c r="F24" s="12">
        <f>INPUT_CARTEIRA!F24</f>
        <v/>
      </c>
      <c r="G24" s="23">
        <f>INPUT_CARTEIRA!G24</f>
        <v/>
      </c>
      <c r="H24" s="9">
        <f>INPUT_CARTEIRA!H24</f>
        <v/>
      </c>
      <c r="I24">
        <f>INPUT_CARTEIRA!I24</f>
        <v/>
      </c>
      <c r="J24" s="12">
        <f>INPUT_CARTEIRA!J24</f>
        <v/>
      </c>
      <c r="K24" s="10">
        <f>INPUT_CARTEIRA!K24</f>
        <v/>
      </c>
      <c r="L24">
        <f>INPUT_CARTEIRA!L24</f>
        <v/>
      </c>
      <c r="M24">
        <f>IF($H24=0,"0",IF($H24&lt;=30,"1-30",IF($H24&lt;=60,"31-60",IF($H24&lt;=90,"61-90",IF($H24&lt;=180,"91-180","&gt;180")))))</f>
        <v/>
      </c>
      <c r="N24" s="10">
        <f>VLOOKUP($H24,REGUA_PDD!$A$4:$B$9,2,TRUE)</f>
        <v/>
      </c>
      <c r="O24" s="10">
        <f>INDEX(EFEITO_VAGAO!$F$4:$F$27, MATCH($C24, EFEITO_VAGAO!$A$4:$A$27, 0))</f>
        <v/>
      </c>
      <c r="P24" s="10">
        <f>IF(PARAMETROS!$B$5="SIM",MAX($N24,$O24),$N24)</f>
        <v/>
      </c>
      <c r="Q24" s="12">
        <f>$F24*$P24</f>
        <v/>
      </c>
      <c r="R24">
        <f>$H24&gt;=PARAMETROS!$B$3</f>
        <v/>
      </c>
    </row>
    <row r="25">
      <c r="A25" s="23">
        <f>INPUT_CARTEIRA!A25</f>
        <v/>
      </c>
      <c r="B25" s="14">
        <f>INPUT_CARTEIRA!B25</f>
        <v/>
      </c>
      <c r="C25" s="14">
        <f>INPUT_CARTEIRA!C25</f>
        <v/>
      </c>
      <c r="D25">
        <f>INPUT_CARTEIRA!D25</f>
        <v/>
      </c>
      <c r="E25">
        <f>INPUT_CARTEIRA!E25</f>
        <v/>
      </c>
      <c r="F25" s="12">
        <f>INPUT_CARTEIRA!F25</f>
        <v/>
      </c>
      <c r="G25" s="23">
        <f>INPUT_CARTEIRA!G25</f>
        <v/>
      </c>
      <c r="H25" s="9">
        <f>INPUT_CARTEIRA!H25</f>
        <v/>
      </c>
      <c r="I25">
        <f>INPUT_CARTEIRA!I25</f>
        <v/>
      </c>
      <c r="J25" s="12">
        <f>INPUT_CARTEIRA!J25</f>
        <v/>
      </c>
      <c r="K25" s="10">
        <f>INPUT_CARTEIRA!K25</f>
        <v/>
      </c>
      <c r="L25">
        <f>INPUT_CARTEIRA!L25</f>
        <v/>
      </c>
      <c r="M25">
        <f>IF($H25=0,"0",IF($H25&lt;=30,"1-30",IF($H25&lt;=60,"31-60",IF($H25&lt;=90,"61-90",IF($H25&lt;=180,"91-180","&gt;180")))))</f>
        <v/>
      </c>
      <c r="N25" s="10">
        <f>VLOOKUP($H25,REGUA_PDD!$A$4:$B$9,2,TRUE)</f>
        <v/>
      </c>
      <c r="O25" s="10">
        <f>INDEX(EFEITO_VAGAO!$F$4:$F$27, MATCH($C25, EFEITO_VAGAO!$A$4:$A$27, 0))</f>
        <v/>
      </c>
      <c r="P25" s="10">
        <f>IF(PARAMETROS!$B$5="SIM",MAX($N25,$O25),$N25)</f>
        <v/>
      </c>
      <c r="Q25" s="12">
        <f>$F25*$P25</f>
        <v/>
      </c>
      <c r="R25">
        <f>$H25&gt;=PARAMETROS!$B$3</f>
        <v/>
      </c>
    </row>
    <row r="26">
      <c r="A26" s="23">
        <f>INPUT_CARTEIRA!A26</f>
        <v/>
      </c>
      <c r="B26" s="14">
        <f>INPUT_CARTEIRA!B26</f>
        <v/>
      </c>
      <c r="C26" s="14">
        <f>INPUT_CARTEIRA!C26</f>
        <v/>
      </c>
      <c r="D26">
        <f>INPUT_CARTEIRA!D26</f>
        <v/>
      </c>
      <c r="E26">
        <f>INPUT_CARTEIRA!E26</f>
        <v/>
      </c>
      <c r="F26" s="12">
        <f>INPUT_CARTEIRA!F26</f>
        <v/>
      </c>
      <c r="G26" s="23">
        <f>INPUT_CARTEIRA!G26</f>
        <v/>
      </c>
      <c r="H26" s="9">
        <f>INPUT_CARTEIRA!H26</f>
        <v/>
      </c>
      <c r="I26">
        <f>INPUT_CARTEIRA!I26</f>
        <v/>
      </c>
      <c r="J26" s="12">
        <f>INPUT_CARTEIRA!J26</f>
        <v/>
      </c>
      <c r="K26" s="10">
        <f>INPUT_CARTEIRA!K26</f>
        <v/>
      </c>
      <c r="L26">
        <f>INPUT_CARTEIRA!L26</f>
        <v/>
      </c>
      <c r="M26">
        <f>IF($H26=0,"0",IF($H26&lt;=30,"1-30",IF($H26&lt;=60,"31-60",IF($H26&lt;=90,"61-90",IF($H26&lt;=180,"91-180","&gt;180")))))</f>
        <v/>
      </c>
      <c r="N26" s="10">
        <f>VLOOKUP($H26,REGUA_PDD!$A$4:$B$9,2,TRUE)</f>
        <v/>
      </c>
      <c r="O26" s="10">
        <f>INDEX(EFEITO_VAGAO!$F$4:$F$27, MATCH($C26, EFEITO_VAGAO!$A$4:$A$27, 0))</f>
        <v/>
      </c>
      <c r="P26" s="10">
        <f>IF(PARAMETROS!$B$5="SIM",MAX($N26,$O26),$N26)</f>
        <v/>
      </c>
      <c r="Q26" s="12">
        <f>$F26*$P26</f>
        <v/>
      </c>
      <c r="R26">
        <f>$H26&gt;=PARAMETROS!$B$3</f>
        <v/>
      </c>
    </row>
    <row r="27">
      <c r="A27" s="23">
        <f>INPUT_CARTEIRA!A27</f>
        <v/>
      </c>
      <c r="B27" s="14">
        <f>INPUT_CARTEIRA!B27</f>
        <v/>
      </c>
      <c r="C27" s="14">
        <f>INPUT_CARTEIRA!C27</f>
        <v/>
      </c>
      <c r="D27">
        <f>INPUT_CARTEIRA!D27</f>
        <v/>
      </c>
      <c r="E27">
        <f>INPUT_CARTEIRA!E27</f>
        <v/>
      </c>
      <c r="F27" s="12">
        <f>INPUT_CARTEIRA!F27</f>
        <v/>
      </c>
      <c r="G27" s="23">
        <f>INPUT_CARTEIRA!G27</f>
        <v/>
      </c>
      <c r="H27" s="9">
        <f>INPUT_CARTEIRA!H27</f>
        <v/>
      </c>
      <c r="I27">
        <f>INPUT_CARTEIRA!I27</f>
        <v/>
      </c>
      <c r="J27" s="12">
        <f>INPUT_CARTEIRA!J27</f>
        <v/>
      </c>
      <c r="K27" s="10">
        <f>INPUT_CARTEIRA!K27</f>
        <v/>
      </c>
      <c r="L27">
        <f>INPUT_CARTEIRA!L27</f>
        <v/>
      </c>
      <c r="M27">
        <f>IF($H27=0,"0",IF($H27&lt;=30,"1-30",IF($H27&lt;=60,"31-60",IF($H27&lt;=90,"61-90",IF($H27&lt;=180,"91-180","&gt;180")))))</f>
        <v/>
      </c>
      <c r="N27" s="10">
        <f>VLOOKUP($H27,REGUA_PDD!$A$4:$B$9,2,TRUE)</f>
        <v/>
      </c>
      <c r="O27" s="10">
        <f>INDEX(EFEITO_VAGAO!$F$4:$F$27, MATCH($C27, EFEITO_VAGAO!$A$4:$A$27, 0))</f>
        <v/>
      </c>
      <c r="P27" s="10">
        <f>IF(PARAMETROS!$B$5="SIM",MAX($N27,$O27),$N27)</f>
        <v/>
      </c>
      <c r="Q27" s="12">
        <f>$F27*$P27</f>
        <v/>
      </c>
      <c r="R27">
        <f>$H27&gt;=PARAMETROS!$B$3</f>
        <v/>
      </c>
    </row>
    <row r="28">
      <c r="A28" s="23">
        <f>INPUT_CARTEIRA!A28</f>
        <v/>
      </c>
      <c r="B28" s="14">
        <f>INPUT_CARTEIRA!B28</f>
        <v/>
      </c>
      <c r="C28" s="14">
        <f>INPUT_CARTEIRA!C28</f>
        <v/>
      </c>
      <c r="D28">
        <f>INPUT_CARTEIRA!D28</f>
        <v/>
      </c>
      <c r="E28">
        <f>INPUT_CARTEIRA!E28</f>
        <v/>
      </c>
      <c r="F28" s="12">
        <f>INPUT_CARTEIRA!F28</f>
        <v/>
      </c>
      <c r="G28" s="23">
        <f>INPUT_CARTEIRA!G28</f>
        <v/>
      </c>
      <c r="H28" s="9">
        <f>INPUT_CARTEIRA!H28</f>
        <v/>
      </c>
      <c r="I28">
        <f>INPUT_CARTEIRA!I28</f>
        <v/>
      </c>
      <c r="J28" s="12">
        <f>INPUT_CARTEIRA!J28</f>
        <v/>
      </c>
      <c r="K28" s="10">
        <f>INPUT_CARTEIRA!K28</f>
        <v/>
      </c>
      <c r="L28">
        <f>INPUT_CARTEIRA!L28</f>
        <v/>
      </c>
      <c r="M28">
        <f>IF($H28=0,"0",IF($H28&lt;=30,"1-30",IF($H28&lt;=60,"31-60",IF($H28&lt;=90,"61-90",IF($H28&lt;=180,"91-180","&gt;180")))))</f>
        <v/>
      </c>
      <c r="N28" s="10">
        <f>VLOOKUP($H28,REGUA_PDD!$A$4:$B$9,2,TRUE)</f>
        <v/>
      </c>
      <c r="O28" s="10">
        <f>INDEX(EFEITO_VAGAO!$F$4:$F$27, MATCH($C28, EFEITO_VAGAO!$A$4:$A$27, 0))</f>
        <v/>
      </c>
      <c r="P28" s="10">
        <f>IF(PARAMETROS!$B$5="SIM",MAX($N28,$O28),$N28)</f>
        <v/>
      </c>
      <c r="Q28" s="12">
        <f>$F28*$P28</f>
        <v/>
      </c>
      <c r="R28">
        <f>$H28&gt;=PARAMETROS!$B$3</f>
        <v/>
      </c>
    </row>
    <row r="29">
      <c r="A29" s="23">
        <f>INPUT_CARTEIRA!A29</f>
        <v/>
      </c>
      <c r="B29" s="14">
        <f>INPUT_CARTEIRA!B29</f>
        <v/>
      </c>
      <c r="C29" s="14">
        <f>INPUT_CARTEIRA!C29</f>
        <v/>
      </c>
      <c r="D29">
        <f>INPUT_CARTEIRA!D29</f>
        <v/>
      </c>
      <c r="E29">
        <f>INPUT_CARTEIRA!E29</f>
        <v/>
      </c>
      <c r="F29" s="12">
        <f>INPUT_CARTEIRA!F29</f>
        <v/>
      </c>
      <c r="G29" s="23">
        <f>INPUT_CARTEIRA!G29</f>
        <v/>
      </c>
      <c r="H29" s="9">
        <f>INPUT_CARTEIRA!H29</f>
        <v/>
      </c>
      <c r="I29">
        <f>INPUT_CARTEIRA!I29</f>
        <v/>
      </c>
      <c r="J29" s="12">
        <f>INPUT_CARTEIRA!J29</f>
        <v/>
      </c>
      <c r="K29" s="10">
        <f>INPUT_CARTEIRA!K29</f>
        <v/>
      </c>
      <c r="L29">
        <f>INPUT_CARTEIRA!L29</f>
        <v/>
      </c>
      <c r="M29">
        <f>IF($H29=0,"0",IF($H29&lt;=30,"1-30",IF($H29&lt;=60,"31-60",IF($H29&lt;=90,"61-90",IF($H29&lt;=180,"91-180","&gt;180")))))</f>
        <v/>
      </c>
      <c r="N29" s="10">
        <f>VLOOKUP($H29,REGUA_PDD!$A$4:$B$9,2,TRUE)</f>
        <v/>
      </c>
      <c r="O29" s="10">
        <f>INDEX(EFEITO_VAGAO!$F$4:$F$27, MATCH($C29, EFEITO_VAGAO!$A$4:$A$27, 0))</f>
        <v/>
      </c>
      <c r="P29" s="10">
        <f>IF(PARAMETROS!$B$5="SIM",MAX($N29,$O29),$N29)</f>
        <v/>
      </c>
      <c r="Q29" s="12">
        <f>$F29*$P29</f>
        <v/>
      </c>
      <c r="R29">
        <f>$H29&gt;=PARAMETROS!$B$3</f>
        <v/>
      </c>
    </row>
    <row r="30">
      <c r="A30" s="23">
        <f>INPUT_CARTEIRA!A30</f>
        <v/>
      </c>
      <c r="B30" s="14">
        <f>INPUT_CARTEIRA!B30</f>
        <v/>
      </c>
      <c r="C30" s="14">
        <f>INPUT_CARTEIRA!C30</f>
        <v/>
      </c>
      <c r="D30">
        <f>INPUT_CARTEIRA!D30</f>
        <v/>
      </c>
      <c r="E30">
        <f>INPUT_CARTEIRA!E30</f>
        <v/>
      </c>
      <c r="F30" s="12">
        <f>INPUT_CARTEIRA!F30</f>
        <v/>
      </c>
      <c r="G30" s="23">
        <f>INPUT_CARTEIRA!G30</f>
        <v/>
      </c>
      <c r="H30" s="9">
        <f>INPUT_CARTEIRA!H30</f>
        <v/>
      </c>
      <c r="I30">
        <f>INPUT_CARTEIRA!I30</f>
        <v/>
      </c>
      <c r="J30" s="12">
        <f>INPUT_CARTEIRA!J30</f>
        <v/>
      </c>
      <c r="K30" s="10">
        <f>INPUT_CARTEIRA!K30</f>
        <v/>
      </c>
      <c r="L30">
        <f>INPUT_CARTEIRA!L30</f>
        <v/>
      </c>
      <c r="M30">
        <f>IF($H30=0,"0",IF($H30&lt;=30,"1-30",IF($H30&lt;=60,"31-60",IF($H30&lt;=90,"61-90",IF($H30&lt;=180,"91-180","&gt;180")))))</f>
        <v/>
      </c>
      <c r="N30" s="10">
        <f>VLOOKUP($H30,REGUA_PDD!$A$4:$B$9,2,TRUE)</f>
        <v/>
      </c>
      <c r="O30" s="10">
        <f>INDEX(EFEITO_VAGAO!$F$4:$F$27, MATCH($C30, EFEITO_VAGAO!$A$4:$A$27, 0))</f>
        <v/>
      </c>
      <c r="P30" s="10">
        <f>IF(PARAMETROS!$B$5="SIM",MAX($N30,$O30),$N30)</f>
        <v/>
      </c>
      <c r="Q30" s="12">
        <f>$F30*$P30</f>
        <v/>
      </c>
      <c r="R30">
        <f>$H30&gt;=PARAMETROS!$B$3</f>
        <v/>
      </c>
    </row>
    <row r="31">
      <c r="A31" s="23">
        <f>INPUT_CARTEIRA!A31</f>
        <v/>
      </c>
      <c r="B31" s="14">
        <f>INPUT_CARTEIRA!B31</f>
        <v/>
      </c>
      <c r="C31" s="14">
        <f>INPUT_CARTEIRA!C31</f>
        <v/>
      </c>
      <c r="D31">
        <f>INPUT_CARTEIRA!D31</f>
        <v/>
      </c>
      <c r="E31">
        <f>INPUT_CARTEIRA!E31</f>
        <v/>
      </c>
      <c r="F31" s="12">
        <f>INPUT_CARTEIRA!F31</f>
        <v/>
      </c>
      <c r="G31" s="23">
        <f>INPUT_CARTEIRA!G31</f>
        <v/>
      </c>
      <c r="H31" s="9">
        <f>INPUT_CARTEIRA!H31</f>
        <v/>
      </c>
      <c r="I31">
        <f>INPUT_CARTEIRA!I31</f>
        <v/>
      </c>
      <c r="J31" s="12">
        <f>INPUT_CARTEIRA!J31</f>
        <v/>
      </c>
      <c r="K31" s="10">
        <f>INPUT_CARTEIRA!K31</f>
        <v/>
      </c>
      <c r="L31">
        <f>INPUT_CARTEIRA!L31</f>
        <v/>
      </c>
      <c r="M31">
        <f>IF($H31=0,"0",IF($H31&lt;=30,"1-30",IF($H31&lt;=60,"31-60",IF($H31&lt;=90,"61-90",IF($H31&lt;=180,"91-180","&gt;180")))))</f>
        <v/>
      </c>
      <c r="N31" s="10">
        <f>VLOOKUP($H31,REGUA_PDD!$A$4:$B$9,2,TRUE)</f>
        <v/>
      </c>
      <c r="O31" s="10">
        <f>INDEX(EFEITO_VAGAO!$F$4:$F$27, MATCH($C31, EFEITO_VAGAO!$A$4:$A$27, 0))</f>
        <v/>
      </c>
      <c r="P31" s="10">
        <f>IF(PARAMETROS!$B$5="SIM",MAX($N31,$O31),$N31)</f>
        <v/>
      </c>
      <c r="Q31" s="12">
        <f>$F31*$P31</f>
        <v/>
      </c>
      <c r="R31">
        <f>$H31&gt;=PARAMETROS!$B$3</f>
        <v/>
      </c>
    </row>
    <row r="32">
      <c r="A32" s="23">
        <f>INPUT_CARTEIRA!A32</f>
        <v/>
      </c>
      <c r="B32" s="14">
        <f>INPUT_CARTEIRA!B32</f>
        <v/>
      </c>
      <c r="C32" s="14">
        <f>INPUT_CARTEIRA!C32</f>
        <v/>
      </c>
      <c r="D32">
        <f>INPUT_CARTEIRA!D32</f>
        <v/>
      </c>
      <c r="E32">
        <f>INPUT_CARTEIRA!E32</f>
        <v/>
      </c>
      <c r="F32" s="12">
        <f>INPUT_CARTEIRA!F32</f>
        <v/>
      </c>
      <c r="G32" s="23">
        <f>INPUT_CARTEIRA!G32</f>
        <v/>
      </c>
      <c r="H32" s="9">
        <f>INPUT_CARTEIRA!H32</f>
        <v/>
      </c>
      <c r="I32">
        <f>INPUT_CARTEIRA!I32</f>
        <v/>
      </c>
      <c r="J32" s="12">
        <f>INPUT_CARTEIRA!J32</f>
        <v/>
      </c>
      <c r="K32" s="10">
        <f>INPUT_CARTEIRA!K32</f>
        <v/>
      </c>
      <c r="L32">
        <f>INPUT_CARTEIRA!L32</f>
        <v/>
      </c>
      <c r="M32">
        <f>IF($H32=0,"0",IF($H32&lt;=30,"1-30",IF($H32&lt;=60,"31-60",IF($H32&lt;=90,"61-90",IF($H32&lt;=180,"91-180","&gt;180")))))</f>
        <v/>
      </c>
      <c r="N32" s="10">
        <f>VLOOKUP($H32,REGUA_PDD!$A$4:$B$9,2,TRUE)</f>
        <v/>
      </c>
      <c r="O32" s="10">
        <f>INDEX(EFEITO_VAGAO!$F$4:$F$27, MATCH($C32, EFEITO_VAGAO!$A$4:$A$27, 0))</f>
        <v/>
      </c>
      <c r="P32" s="10">
        <f>IF(PARAMETROS!$B$5="SIM",MAX($N32,$O32),$N32)</f>
        <v/>
      </c>
      <c r="Q32" s="12">
        <f>$F32*$P32</f>
        <v/>
      </c>
      <c r="R32">
        <f>$H32&gt;=PARAMETROS!$B$3</f>
        <v/>
      </c>
    </row>
    <row r="33">
      <c r="A33" s="23">
        <f>INPUT_CARTEIRA!A33</f>
        <v/>
      </c>
      <c r="B33" s="14">
        <f>INPUT_CARTEIRA!B33</f>
        <v/>
      </c>
      <c r="C33" s="14">
        <f>INPUT_CARTEIRA!C33</f>
        <v/>
      </c>
      <c r="D33">
        <f>INPUT_CARTEIRA!D33</f>
        <v/>
      </c>
      <c r="E33">
        <f>INPUT_CARTEIRA!E33</f>
        <v/>
      </c>
      <c r="F33" s="12">
        <f>INPUT_CARTEIRA!F33</f>
        <v/>
      </c>
      <c r="G33" s="23">
        <f>INPUT_CARTEIRA!G33</f>
        <v/>
      </c>
      <c r="H33" s="9">
        <f>INPUT_CARTEIRA!H33</f>
        <v/>
      </c>
      <c r="I33">
        <f>INPUT_CARTEIRA!I33</f>
        <v/>
      </c>
      <c r="J33" s="12">
        <f>INPUT_CARTEIRA!J33</f>
        <v/>
      </c>
      <c r="K33" s="10">
        <f>INPUT_CARTEIRA!K33</f>
        <v/>
      </c>
      <c r="L33">
        <f>INPUT_CARTEIRA!L33</f>
        <v/>
      </c>
      <c r="M33">
        <f>IF($H33=0,"0",IF($H33&lt;=30,"1-30",IF($H33&lt;=60,"31-60",IF($H33&lt;=90,"61-90",IF($H33&lt;=180,"91-180","&gt;180")))))</f>
        <v/>
      </c>
      <c r="N33" s="10">
        <f>VLOOKUP($H33,REGUA_PDD!$A$4:$B$9,2,TRUE)</f>
        <v/>
      </c>
      <c r="O33" s="10">
        <f>INDEX(EFEITO_VAGAO!$F$4:$F$27, MATCH($C33, EFEITO_VAGAO!$A$4:$A$27, 0))</f>
        <v/>
      </c>
      <c r="P33" s="10">
        <f>IF(PARAMETROS!$B$5="SIM",MAX($N33,$O33),$N33)</f>
        <v/>
      </c>
      <c r="Q33" s="12">
        <f>$F33*$P33</f>
        <v/>
      </c>
      <c r="R33">
        <f>$H33&gt;=PARAMETROS!$B$3</f>
        <v/>
      </c>
    </row>
    <row r="34">
      <c r="A34" s="23">
        <f>INPUT_CARTEIRA!A34</f>
        <v/>
      </c>
      <c r="B34" s="14">
        <f>INPUT_CARTEIRA!B34</f>
        <v/>
      </c>
      <c r="C34" s="14">
        <f>INPUT_CARTEIRA!C34</f>
        <v/>
      </c>
      <c r="D34">
        <f>INPUT_CARTEIRA!D34</f>
        <v/>
      </c>
      <c r="E34">
        <f>INPUT_CARTEIRA!E34</f>
        <v/>
      </c>
      <c r="F34" s="12">
        <f>INPUT_CARTEIRA!F34</f>
        <v/>
      </c>
      <c r="G34" s="23">
        <f>INPUT_CARTEIRA!G34</f>
        <v/>
      </c>
      <c r="H34" s="9">
        <f>INPUT_CARTEIRA!H34</f>
        <v/>
      </c>
      <c r="I34">
        <f>INPUT_CARTEIRA!I34</f>
        <v/>
      </c>
      <c r="J34" s="12">
        <f>INPUT_CARTEIRA!J34</f>
        <v/>
      </c>
      <c r="K34" s="10">
        <f>INPUT_CARTEIRA!K34</f>
        <v/>
      </c>
      <c r="L34">
        <f>INPUT_CARTEIRA!L34</f>
        <v/>
      </c>
      <c r="M34">
        <f>IF($H34=0,"0",IF($H34&lt;=30,"1-30",IF($H34&lt;=60,"31-60",IF($H34&lt;=90,"61-90",IF($H34&lt;=180,"91-180","&gt;180")))))</f>
        <v/>
      </c>
      <c r="N34" s="10">
        <f>VLOOKUP($H34,REGUA_PDD!$A$4:$B$9,2,TRUE)</f>
        <v/>
      </c>
      <c r="O34" s="10">
        <f>INDEX(EFEITO_VAGAO!$F$4:$F$27, MATCH($C34, EFEITO_VAGAO!$A$4:$A$27, 0))</f>
        <v/>
      </c>
      <c r="P34" s="10">
        <f>IF(PARAMETROS!$B$5="SIM",MAX($N34,$O34),$N34)</f>
        <v/>
      </c>
      <c r="Q34" s="12">
        <f>$F34*$P34</f>
        <v/>
      </c>
      <c r="R34">
        <f>$H34&gt;=PARAMETROS!$B$3</f>
        <v/>
      </c>
    </row>
    <row r="35">
      <c r="A35" s="23">
        <f>INPUT_CARTEIRA!A35</f>
        <v/>
      </c>
      <c r="B35" s="14">
        <f>INPUT_CARTEIRA!B35</f>
        <v/>
      </c>
      <c r="C35" s="14">
        <f>INPUT_CARTEIRA!C35</f>
        <v/>
      </c>
      <c r="D35">
        <f>INPUT_CARTEIRA!D35</f>
        <v/>
      </c>
      <c r="E35">
        <f>INPUT_CARTEIRA!E35</f>
        <v/>
      </c>
      <c r="F35" s="12">
        <f>INPUT_CARTEIRA!F35</f>
        <v/>
      </c>
      <c r="G35" s="23">
        <f>INPUT_CARTEIRA!G35</f>
        <v/>
      </c>
      <c r="H35" s="9">
        <f>INPUT_CARTEIRA!H35</f>
        <v/>
      </c>
      <c r="I35">
        <f>INPUT_CARTEIRA!I35</f>
        <v/>
      </c>
      <c r="J35" s="12">
        <f>INPUT_CARTEIRA!J35</f>
        <v/>
      </c>
      <c r="K35" s="10">
        <f>INPUT_CARTEIRA!K35</f>
        <v/>
      </c>
      <c r="L35">
        <f>INPUT_CARTEIRA!L35</f>
        <v/>
      </c>
      <c r="M35">
        <f>IF($H35=0,"0",IF($H35&lt;=30,"1-30",IF($H35&lt;=60,"31-60",IF($H35&lt;=90,"61-90",IF($H35&lt;=180,"91-180","&gt;180")))))</f>
        <v/>
      </c>
      <c r="N35" s="10">
        <f>VLOOKUP($H35,REGUA_PDD!$A$4:$B$9,2,TRUE)</f>
        <v/>
      </c>
      <c r="O35" s="10">
        <f>INDEX(EFEITO_VAGAO!$F$4:$F$27, MATCH($C35, EFEITO_VAGAO!$A$4:$A$27, 0))</f>
        <v/>
      </c>
      <c r="P35" s="10">
        <f>IF(PARAMETROS!$B$5="SIM",MAX($N35,$O35),$N35)</f>
        <v/>
      </c>
      <c r="Q35" s="12">
        <f>$F35*$P35</f>
        <v/>
      </c>
      <c r="R35">
        <f>$H35&gt;=PARAMETROS!$B$3</f>
        <v/>
      </c>
    </row>
    <row r="36">
      <c r="A36" s="23">
        <f>INPUT_CARTEIRA!A36</f>
        <v/>
      </c>
      <c r="B36" s="14">
        <f>INPUT_CARTEIRA!B36</f>
        <v/>
      </c>
      <c r="C36" s="14">
        <f>INPUT_CARTEIRA!C36</f>
        <v/>
      </c>
      <c r="D36">
        <f>INPUT_CARTEIRA!D36</f>
        <v/>
      </c>
      <c r="E36">
        <f>INPUT_CARTEIRA!E36</f>
        <v/>
      </c>
      <c r="F36" s="12">
        <f>INPUT_CARTEIRA!F36</f>
        <v/>
      </c>
      <c r="G36" s="23">
        <f>INPUT_CARTEIRA!G36</f>
        <v/>
      </c>
      <c r="H36" s="9">
        <f>INPUT_CARTEIRA!H36</f>
        <v/>
      </c>
      <c r="I36">
        <f>INPUT_CARTEIRA!I36</f>
        <v/>
      </c>
      <c r="J36" s="12">
        <f>INPUT_CARTEIRA!J36</f>
        <v/>
      </c>
      <c r="K36" s="10">
        <f>INPUT_CARTEIRA!K36</f>
        <v/>
      </c>
      <c r="L36">
        <f>INPUT_CARTEIRA!L36</f>
        <v/>
      </c>
      <c r="M36">
        <f>IF($H36=0,"0",IF($H36&lt;=30,"1-30",IF($H36&lt;=60,"31-60",IF($H36&lt;=90,"61-90",IF($H36&lt;=180,"91-180","&gt;180")))))</f>
        <v/>
      </c>
      <c r="N36" s="10">
        <f>VLOOKUP($H36,REGUA_PDD!$A$4:$B$9,2,TRUE)</f>
        <v/>
      </c>
      <c r="O36" s="10">
        <f>INDEX(EFEITO_VAGAO!$F$4:$F$27, MATCH($C36, EFEITO_VAGAO!$A$4:$A$27, 0))</f>
        <v/>
      </c>
      <c r="P36" s="10">
        <f>IF(PARAMETROS!$B$5="SIM",MAX($N36,$O36),$N36)</f>
        <v/>
      </c>
      <c r="Q36" s="12">
        <f>$F36*$P36</f>
        <v/>
      </c>
      <c r="R36">
        <f>$H36&gt;=PARAMETROS!$B$3</f>
        <v/>
      </c>
    </row>
    <row r="37">
      <c r="A37" s="23">
        <f>INPUT_CARTEIRA!A37</f>
        <v/>
      </c>
      <c r="B37" s="14">
        <f>INPUT_CARTEIRA!B37</f>
        <v/>
      </c>
      <c r="C37" s="14">
        <f>INPUT_CARTEIRA!C37</f>
        <v/>
      </c>
      <c r="D37">
        <f>INPUT_CARTEIRA!D37</f>
        <v/>
      </c>
      <c r="E37">
        <f>INPUT_CARTEIRA!E37</f>
        <v/>
      </c>
      <c r="F37" s="12">
        <f>INPUT_CARTEIRA!F37</f>
        <v/>
      </c>
      <c r="G37" s="23">
        <f>INPUT_CARTEIRA!G37</f>
        <v/>
      </c>
      <c r="H37" s="9">
        <f>INPUT_CARTEIRA!H37</f>
        <v/>
      </c>
      <c r="I37">
        <f>INPUT_CARTEIRA!I37</f>
        <v/>
      </c>
      <c r="J37" s="12">
        <f>INPUT_CARTEIRA!J37</f>
        <v/>
      </c>
      <c r="K37" s="10">
        <f>INPUT_CARTEIRA!K37</f>
        <v/>
      </c>
      <c r="L37">
        <f>INPUT_CARTEIRA!L37</f>
        <v/>
      </c>
      <c r="M37">
        <f>IF($H37=0,"0",IF($H37&lt;=30,"1-30",IF($H37&lt;=60,"31-60",IF($H37&lt;=90,"61-90",IF($H37&lt;=180,"91-180","&gt;180")))))</f>
        <v/>
      </c>
      <c r="N37" s="10">
        <f>VLOOKUP($H37,REGUA_PDD!$A$4:$B$9,2,TRUE)</f>
        <v/>
      </c>
      <c r="O37" s="10">
        <f>INDEX(EFEITO_VAGAO!$F$4:$F$27, MATCH($C37, EFEITO_VAGAO!$A$4:$A$27, 0))</f>
        <v/>
      </c>
      <c r="P37" s="10">
        <f>IF(PARAMETROS!$B$5="SIM",MAX($N37,$O37),$N37)</f>
        <v/>
      </c>
      <c r="Q37" s="12">
        <f>$F37*$P37</f>
        <v/>
      </c>
      <c r="R37">
        <f>$H37&gt;=PARAMETROS!$B$3</f>
        <v/>
      </c>
    </row>
    <row r="38">
      <c r="A38" s="23">
        <f>INPUT_CARTEIRA!A38</f>
        <v/>
      </c>
      <c r="B38" s="14">
        <f>INPUT_CARTEIRA!B38</f>
        <v/>
      </c>
      <c r="C38" s="14">
        <f>INPUT_CARTEIRA!C38</f>
        <v/>
      </c>
      <c r="D38">
        <f>INPUT_CARTEIRA!D38</f>
        <v/>
      </c>
      <c r="E38">
        <f>INPUT_CARTEIRA!E38</f>
        <v/>
      </c>
      <c r="F38" s="12">
        <f>INPUT_CARTEIRA!F38</f>
        <v/>
      </c>
      <c r="G38" s="23">
        <f>INPUT_CARTEIRA!G38</f>
        <v/>
      </c>
      <c r="H38" s="9">
        <f>INPUT_CARTEIRA!H38</f>
        <v/>
      </c>
      <c r="I38">
        <f>INPUT_CARTEIRA!I38</f>
        <v/>
      </c>
      <c r="J38" s="12">
        <f>INPUT_CARTEIRA!J38</f>
        <v/>
      </c>
      <c r="K38" s="10">
        <f>INPUT_CARTEIRA!K38</f>
        <v/>
      </c>
      <c r="L38">
        <f>INPUT_CARTEIRA!L38</f>
        <v/>
      </c>
      <c r="M38">
        <f>IF($H38=0,"0",IF($H38&lt;=30,"1-30",IF($H38&lt;=60,"31-60",IF($H38&lt;=90,"61-90",IF($H38&lt;=180,"91-180","&gt;180")))))</f>
        <v/>
      </c>
      <c r="N38" s="10">
        <f>VLOOKUP($H38,REGUA_PDD!$A$4:$B$9,2,TRUE)</f>
        <v/>
      </c>
      <c r="O38" s="10">
        <f>INDEX(EFEITO_VAGAO!$F$4:$F$27, MATCH($C38, EFEITO_VAGAO!$A$4:$A$27, 0))</f>
        <v/>
      </c>
      <c r="P38" s="10">
        <f>IF(PARAMETROS!$B$5="SIM",MAX($N38,$O38),$N38)</f>
        <v/>
      </c>
      <c r="Q38" s="12">
        <f>$F38*$P38</f>
        <v/>
      </c>
      <c r="R38">
        <f>$H38&gt;=PARAMETROS!$B$3</f>
        <v/>
      </c>
    </row>
    <row r="39">
      <c r="A39" s="23">
        <f>INPUT_CARTEIRA!A39</f>
        <v/>
      </c>
      <c r="B39" s="14">
        <f>INPUT_CARTEIRA!B39</f>
        <v/>
      </c>
      <c r="C39" s="14">
        <f>INPUT_CARTEIRA!C39</f>
        <v/>
      </c>
      <c r="D39">
        <f>INPUT_CARTEIRA!D39</f>
        <v/>
      </c>
      <c r="E39">
        <f>INPUT_CARTEIRA!E39</f>
        <v/>
      </c>
      <c r="F39" s="12">
        <f>INPUT_CARTEIRA!F39</f>
        <v/>
      </c>
      <c r="G39" s="23">
        <f>INPUT_CARTEIRA!G39</f>
        <v/>
      </c>
      <c r="H39" s="9">
        <f>INPUT_CARTEIRA!H39</f>
        <v/>
      </c>
      <c r="I39">
        <f>INPUT_CARTEIRA!I39</f>
        <v/>
      </c>
      <c r="J39" s="12">
        <f>INPUT_CARTEIRA!J39</f>
        <v/>
      </c>
      <c r="K39" s="10">
        <f>INPUT_CARTEIRA!K39</f>
        <v/>
      </c>
      <c r="L39">
        <f>INPUT_CARTEIRA!L39</f>
        <v/>
      </c>
      <c r="M39">
        <f>IF($H39=0,"0",IF($H39&lt;=30,"1-30",IF($H39&lt;=60,"31-60",IF($H39&lt;=90,"61-90",IF($H39&lt;=180,"91-180","&gt;180")))))</f>
        <v/>
      </c>
      <c r="N39" s="10">
        <f>VLOOKUP($H39,REGUA_PDD!$A$4:$B$9,2,TRUE)</f>
        <v/>
      </c>
      <c r="O39" s="10">
        <f>INDEX(EFEITO_VAGAO!$F$4:$F$27, MATCH($C39, EFEITO_VAGAO!$A$4:$A$27, 0))</f>
        <v/>
      </c>
      <c r="P39" s="10">
        <f>IF(PARAMETROS!$B$5="SIM",MAX($N39,$O39),$N39)</f>
        <v/>
      </c>
      <c r="Q39" s="12">
        <f>$F39*$P39</f>
        <v/>
      </c>
      <c r="R39">
        <f>$H39&gt;=PARAMETROS!$B$3</f>
        <v/>
      </c>
    </row>
    <row r="40">
      <c r="A40" s="23">
        <f>INPUT_CARTEIRA!A40</f>
        <v/>
      </c>
      <c r="B40" s="14">
        <f>INPUT_CARTEIRA!B40</f>
        <v/>
      </c>
      <c r="C40" s="14">
        <f>INPUT_CARTEIRA!C40</f>
        <v/>
      </c>
      <c r="D40">
        <f>INPUT_CARTEIRA!D40</f>
        <v/>
      </c>
      <c r="E40">
        <f>INPUT_CARTEIRA!E40</f>
        <v/>
      </c>
      <c r="F40" s="12">
        <f>INPUT_CARTEIRA!F40</f>
        <v/>
      </c>
      <c r="G40" s="23">
        <f>INPUT_CARTEIRA!G40</f>
        <v/>
      </c>
      <c r="H40" s="9">
        <f>INPUT_CARTEIRA!H40</f>
        <v/>
      </c>
      <c r="I40">
        <f>INPUT_CARTEIRA!I40</f>
        <v/>
      </c>
      <c r="J40" s="12">
        <f>INPUT_CARTEIRA!J40</f>
        <v/>
      </c>
      <c r="K40" s="10">
        <f>INPUT_CARTEIRA!K40</f>
        <v/>
      </c>
      <c r="L40">
        <f>INPUT_CARTEIRA!L40</f>
        <v/>
      </c>
      <c r="M40">
        <f>IF($H40=0,"0",IF($H40&lt;=30,"1-30",IF($H40&lt;=60,"31-60",IF($H40&lt;=90,"61-90",IF($H40&lt;=180,"91-180","&gt;180")))))</f>
        <v/>
      </c>
      <c r="N40" s="10">
        <f>VLOOKUP($H40,REGUA_PDD!$A$4:$B$9,2,TRUE)</f>
        <v/>
      </c>
      <c r="O40" s="10">
        <f>INDEX(EFEITO_VAGAO!$F$4:$F$27, MATCH($C40, EFEITO_VAGAO!$A$4:$A$27, 0))</f>
        <v/>
      </c>
      <c r="P40" s="10">
        <f>IF(PARAMETROS!$B$5="SIM",MAX($N40,$O40),$N40)</f>
        <v/>
      </c>
      <c r="Q40" s="12">
        <f>$F40*$P40</f>
        <v/>
      </c>
      <c r="R40">
        <f>$H40&gt;=PARAMETROS!$B$3</f>
        <v/>
      </c>
    </row>
    <row r="41">
      <c r="A41" s="23">
        <f>INPUT_CARTEIRA!A41</f>
        <v/>
      </c>
      <c r="B41" s="14">
        <f>INPUT_CARTEIRA!B41</f>
        <v/>
      </c>
      <c r="C41" s="14">
        <f>INPUT_CARTEIRA!C41</f>
        <v/>
      </c>
      <c r="D41">
        <f>INPUT_CARTEIRA!D41</f>
        <v/>
      </c>
      <c r="E41">
        <f>INPUT_CARTEIRA!E41</f>
        <v/>
      </c>
      <c r="F41" s="12">
        <f>INPUT_CARTEIRA!F41</f>
        <v/>
      </c>
      <c r="G41" s="23">
        <f>INPUT_CARTEIRA!G41</f>
        <v/>
      </c>
      <c r="H41" s="9">
        <f>INPUT_CARTEIRA!H41</f>
        <v/>
      </c>
      <c r="I41">
        <f>INPUT_CARTEIRA!I41</f>
        <v/>
      </c>
      <c r="J41" s="12">
        <f>INPUT_CARTEIRA!J41</f>
        <v/>
      </c>
      <c r="K41" s="10">
        <f>INPUT_CARTEIRA!K41</f>
        <v/>
      </c>
      <c r="L41">
        <f>INPUT_CARTEIRA!L41</f>
        <v/>
      </c>
      <c r="M41">
        <f>IF($H41=0,"0",IF($H41&lt;=30,"1-30",IF($H41&lt;=60,"31-60",IF($H41&lt;=90,"61-90",IF($H41&lt;=180,"91-180","&gt;180")))))</f>
        <v/>
      </c>
      <c r="N41" s="10">
        <f>VLOOKUP($H41,REGUA_PDD!$A$4:$B$9,2,TRUE)</f>
        <v/>
      </c>
      <c r="O41" s="10">
        <f>INDEX(EFEITO_VAGAO!$F$4:$F$27, MATCH($C41, EFEITO_VAGAO!$A$4:$A$27, 0))</f>
        <v/>
      </c>
      <c r="P41" s="10">
        <f>IF(PARAMETROS!$B$5="SIM",MAX($N41,$O41),$N41)</f>
        <v/>
      </c>
      <c r="Q41" s="12">
        <f>$F41*$P41</f>
        <v/>
      </c>
      <c r="R41">
        <f>$H41&gt;=PARAMETROS!$B$3</f>
        <v/>
      </c>
    </row>
    <row r="42">
      <c r="A42" s="23">
        <f>INPUT_CARTEIRA!A42</f>
        <v/>
      </c>
      <c r="B42" s="14">
        <f>INPUT_CARTEIRA!B42</f>
        <v/>
      </c>
      <c r="C42" s="14">
        <f>INPUT_CARTEIRA!C42</f>
        <v/>
      </c>
      <c r="D42">
        <f>INPUT_CARTEIRA!D42</f>
        <v/>
      </c>
      <c r="E42">
        <f>INPUT_CARTEIRA!E42</f>
        <v/>
      </c>
      <c r="F42" s="12">
        <f>INPUT_CARTEIRA!F42</f>
        <v/>
      </c>
      <c r="G42" s="23">
        <f>INPUT_CARTEIRA!G42</f>
        <v/>
      </c>
      <c r="H42" s="9">
        <f>INPUT_CARTEIRA!H42</f>
        <v/>
      </c>
      <c r="I42">
        <f>INPUT_CARTEIRA!I42</f>
        <v/>
      </c>
      <c r="J42" s="12">
        <f>INPUT_CARTEIRA!J42</f>
        <v/>
      </c>
      <c r="K42" s="10">
        <f>INPUT_CARTEIRA!K42</f>
        <v/>
      </c>
      <c r="L42">
        <f>INPUT_CARTEIRA!L42</f>
        <v/>
      </c>
      <c r="M42">
        <f>IF($H42=0,"0",IF($H42&lt;=30,"1-30",IF($H42&lt;=60,"31-60",IF($H42&lt;=90,"61-90",IF($H42&lt;=180,"91-180","&gt;180")))))</f>
        <v/>
      </c>
      <c r="N42" s="10">
        <f>VLOOKUP($H42,REGUA_PDD!$A$4:$B$9,2,TRUE)</f>
        <v/>
      </c>
      <c r="O42" s="10">
        <f>INDEX(EFEITO_VAGAO!$F$4:$F$27, MATCH($C42, EFEITO_VAGAO!$A$4:$A$27, 0))</f>
        <v/>
      </c>
      <c r="P42" s="10">
        <f>IF(PARAMETROS!$B$5="SIM",MAX($N42,$O42),$N42)</f>
        <v/>
      </c>
      <c r="Q42" s="12">
        <f>$F42*$P42</f>
        <v/>
      </c>
      <c r="R42">
        <f>$H42&gt;=PARAMETROS!$B$3</f>
        <v/>
      </c>
    </row>
    <row r="43">
      <c r="A43" s="23">
        <f>INPUT_CARTEIRA!A43</f>
        <v/>
      </c>
      <c r="B43" s="14">
        <f>INPUT_CARTEIRA!B43</f>
        <v/>
      </c>
      <c r="C43" s="14">
        <f>INPUT_CARTEIRA!C43</f>
        <v/>
      </c>
      <c r="D43">
        <f>INPUT_CARTEIRA!D43</f>
        <v/>
      </c>
      <c r="E43">
        <f>INPUT_CARTEIRA!E43</f>
        <v/>
      </c>
      <c r="F43" s="12">
        <f>INPUT_CARTEIRA!F43</f>
        <v/>
      </c>
      <c r="G43" s="23">
        <f>INPUT_CARTEIRA!G43</f>
        <v/>
      </c>
      <c r="H43" s="9">
        <f>INPUT_CARTEIRA!H43</f>
        <v/>
      </c>
      <c r="I43">
        <f>INPUT_CARTEIRA!I43</f>
        <v/>
      </c>
      <c r="J43" s="12">
        <f>INPUT_CARTEIRA!J43</f>
        <v/>
      </c>
      <c r="K43" s="10">
        <f>INPUT_CARTEIRA!K43</f>
        <v/>
      </c>
      <c r="L43">
        <f>INPUT_CARTEIRA!L43</f>
        <v/>
      </c>
      <c r="M43">
        <f>IF($H43=0,"0",IF($H43&lt;=30,"1-30",IF($H43&lt;=60,"31-60",IF($H43&lt;=90,"61-90",IF($H43&lt;=180,"91-180","&gt;180")))))</f>
        <v/>
      </c>
      <c r="N43" s="10">
        <f>VLOOKUP($H43,REGUA_PDD!$A$4:$B$9,2,TRUE)</f>
        <v/>
      </c>
      <c r="O43" s="10">
        <f>INDEX(EFEITO_VAGAO!$F$4:$F$27, MATCH($C43, EFEITO_VAGAO!$A$4:$A$27, 0))</f>
        <v/>
      </c>
      <c r="P43" s="10">
        <f>IF(PARAMETROS!$B$5="SIM",MAX($N43,$O43),$N43)</f>
        <v/>
      </c>
      <c r="Q43" s="12">
        <f>$F43*$P43</f>
        <v/>
      </c>
      <c r="R43">
        <f>$H43&gt;=PARAMETROS!$B$3</f>
        <v/>
      </c>
    </row>
    <row r="44">
      <c r="A44" s="23">
        <f>INPUT_CARTEIRA!A44</f>
        <v/>
      </c>
      <c r="B44" s="14">
        <f>INPUT_CARTEIRA!B44</f>
        <v/>
      </c>
      <c r="C44" s="14">
        <f>INPUT_CARTEIRA!C44</f>
        <v/>
      </c>
      <c r="D44">
        <f>INPUT_CARTEIRA!D44</f>
        <v/>
      </c>
      <c r="E44">
        <f>INPUT_CARTEIRA!E44</f>
        <v/>
      </c>
      <c r="F44" s="12">
        <f>INPUT_CARTEIRA!F44</f>
        <v/>
      </c>
      <c r="G44" s="23">
        <f>INPUT_CARTEIRA!G44</f>
        <v/>
      </c>
      <c r="H44" s="9">
        <f>INPUT_CARTEIRA!H44</f>
        <v/>
      </c>
      <c r="I44">
        <f>INPUT_CARTEIRA!I44</f>
        <v/>
      </c>
      <c r="J44" s="12">
        <f>INPUT_CARTEIRA!J44</f>
        <v/>
      </c>
      <c r="K44" s="10">
        <f>INPUT_CARTEIRA!K44</f>
        <v/>
      </c>
      <c r="L44">
        <f>INPUT_CARTEIRA!L44</f>
        <v/>
      </c>
      <c r="M44">
        <f>IF($H44=0,"0",IF($H44&lt;=30,"1-30",IF($H44&lt;=60,"31-60",IF($H44&lt;=90,"61-90",IF($H44&lt;=180,"91-180","&gt;180")))))</f>
        <v/>
      </c>
      <c r="N44" s="10">
        <f>VLOOKUP($H44,REGUA_PDD!$A$4:$B$9,2,TRUE)</f>
        <v/>
      </c>
      <c r="O44" s="10">
        <f>INDEX(EFEITO_VAGAO!$F$4:$F$27, MATCH($C44, EFEITO_VAGAO!$A$4:$A$27, 0))</f>
        <v/>
      </c>
      <c r="P44" s="10">
        <f>IF(PARAMETROS!$B$5="SIM",MAX($N44,$O44),$N44)</f>
        <v/>
      </c>
      <c r="Q44" s="12">
        <f>$F44*$P44</f>
        <v/>
      </c>
      <c r="R44">
        <f>$H44&gt;=PARAMETROS!$B$3</f>
        <v/>
      </c>
    </row>
    <row r="45">
      <c r="A45" s="23">
        <f>INPUT_CARTEIRA!A45</f>
        <v/>
      </c>
      <c r="B45" s="14">
        <f>INPUT_CARTEIRA!B45</f>
        <v/>
      </c>
      <c r="C45" s="14">
        <f>INPUT_CARTEIRA!C45</f>
        <v/>
      </c>
      <c r="D45">
        <f>INPUT_CARTEIRA!D45</f>
        <v/>
      </c>
      <c r="E45">
        <f>INPUT_CARTEIRA!E45</f>
        <v/>
      </c>
      <c r="F45" s="12">
        <f>INPUT_CARTEIRA!F45</f>
        <v/>
      </c>
      <c r="G45" s="23">
        <f>INPUT_CARTEIRA!G45</f>
        <v/>
      </c>
      <c r="H45" s="9">
        <f>INPUT_CARTEIRA!H45</f>
        <v/>
      </c>
      <c r="I45">
        <f>INPUT_CARTEIRA!I45</f>
        <v/>
      </c>
      <c r="J45" s="12">
        <f>INPUT_CARTEIRA!J45</f>
        <v/>
      </c>
      <c r="K45" s="10">
        <f>INPUT_CARTEIRA!K45</f>
        <v/>
      </c>
      <c r="L45">
        <f>INPUT_CARTEIRA!L45</f>
        <v/>
      </c>
      <c r="M45">
        <f>IF($H45=0,"0",IF($H45&lt;=30,"1-30",IF($H45&lt;=60,"31-60",IF($H45&lt;=90,"61-90",IF($H45&lt;=180,"91-180","&gt;180")))))</f>
        <v/>
      </c>
      <c r="N45" s="10">
        <f>VLOOKUP($H45,REGUA_PDD!$A$4:$B$9,2,TRUE)</f>
        <v/>
      </c>
      <c r="O45" s="10">
        <f>INDEX(EFEITO_VAGAO!$F$4:$F$27, MATCH($C45, EFEITO_VAGAO!$A$4:$A$27, 0))</f>
        <v/>
      </c>
      <c r="P45" s="10">
        <f>IF(PARAMETROS!$B$5="SIM",MAX($N45,$O45),$N45)</f>
        <v/>
      </c>
      <c r="Q45" s="12">
        <f>$F45*$P45</f>
        <v/>
      </c>
      <c r="R45">
        <f>$H45&gt;=PARAMETROS!$B$3</f>
        <v/>
      </c>
    </row>
    <row r="46">
      <c r="A46" s="23">
        <f>INPUT_CARTEIRA!A46</f>
        <v/>
      </c>
      <c r="B46" s="14">
        <f>INPUT_CARTEIRA!B46</f>
        <v/>
      </c>
      <c r="C46" s="14">
        <f>INPUT_CARTEIRA!C46</f>
        <v/>
      </c>
      <c r="D46">
        <f>INPUT_CARTEIRA!D46</f>
        <v/>
      </c>
      <c r="E46">
        <f>INPUT_CARTEIRA!E46</f>
        <v/>
      </c>
      <c r="F46" s="12">
        <f>INPUT_CARTEIRA!F46</f>
        <v/>
      </c>
      <c r="G46" s="23">
        <f>INPUT_CARTEIRA!G46</f>
        <v/>
      </c>
      <c r="H46" s="9">
        <f>INPUT_CARTEIRA!H46</f>
        <v/>
      </c>
      <c r="I46">
        <f>INPUT_CARTEIRA!I46</f>
        <v/>
      </c>
      <c r="J46" s="12">
        <f>INPUT_CARTEIRA!J46</f>
        <v/>
      </c>
      <c r="K46" s="10">
        <f>INPUT_CARTEIRA!K46</f>
        <v/>
      </c>
      <c r="L46">
        <f>INPUT_CARTEIRA!L46</f>
        <v/>
      </c>
      <c r="M46">
        <f>IF($H46=0,"0",IF($H46&lt;=30,"1-30",IF($H46&lt;=60,"31-60",IF($H46&lt;=90,"61-90",IF($H46&lt;=180,"91-180","&gt;180")))))</f>
        <v/>
      </c>
      <c r="N46" s="10">
        <f>VLOOKUP($H46,REGUA_PDD!$A$4:$B$9,2,TRUE)</f>
        <v/>
      </c>
      <c r="O46" s="10">
        <f>INDEX(EFEITO_VAGAO!$F$4:$F$27, MATCH($C46, EFEITO_VAGAO!$A$4:$A$27, 0))</f>
        <v/>
      </c>
      <c r="P46" s="10">
        <f>IF(PARAMETROS!$B$5="SIM",MAX($N46,$O46),$N46)</f>
        <v/>
      </c>
      <c r="Q46" s="12">
        <f>$F46*$P46</f>
        <v/>
      </c>
      <c r="R46">
        <f>$H46&gt;=PARAMETROS!$B$3</f>
        <v/>
      </c>
    </row>
    <row r="47">
      <c r="A47" s="23">
        <f>INPUT_CARTEIRA!A47</f>
        <v/>
      </c>
      <c r="B47" s="14">
        <f>INPUT_CARTEIRA!B47</f>
        <v/>
      </c>
      <c r="C47" s="14">
        <f>INPUT_CARTEIRA!C47</f>
        <v/>
      </c>
      <c r="D47">
        <f>INPUT_CARTEIRA!D47</f>
        <v/>
      </c>
      <c r="E47">
        <f>INPUT_CARTEIRA!E47</f>
        <v/>
      </c>
      <c r="F47" s="12">
        <f>INPUT_CARTEIRA!F47</f>
        <v/>
      </c>
      <c r="G47" s="23">
        <f>INPUT_CARTEIRA!G47</f>
        <v/>
      </c>
      <c r="H47" s="9">
        <f>INPUT_CARTEIRA!H47</f>
        <v/>
      </c>
      <c r="I47">
        <f>INPUT_CARTEIRA!I47</f>
        <v/>
      </c>
      <c r="J47" s="12">
        <f>INPUT_CARTEIRA!J47</f>
        <v/>
      </c>
      <c r="K47" s="10">
        <f>INPUT_CARTEIRA!K47</f>
        <v/>
      </c>
      <c r="L47">
        <f>INPUT_CARTEIRA!L47</f>
        <v/>
      </c>
      <c r="M47">
        <f>IF($H47=0,"0",IF($H47&lt;=30,"1-30",IF($H47&lt;=60,"31-60",IF($H47&lt;=90,"61-90",IF($H47&lt;=180,"91-180","&gt;180")))))</f>
        <v/>
      </c>
      <c r="N47" s="10">
        <f>VLOOKUP($H47,REGUA_PDD!$A$4:$B$9,2,TRUE)</f>
        <v/>
      </c>
      <c r="O47" s="10">
        <f>INDEX(EFEITO_VAGAO!$F$4:$F$27, MATCH($C47, EFEITO_VAGAO!$A$4:$A$27, 0))</f>
        <v/>
      </c>
      <c r="P47" s="10">
        <f>IF(PARAMETROS!$B$5="SIM",MAX($N47,$O47),$N47)</f>
        <v/>
      </c>
      <c r="Q47" s="12">
        <f>$F47*$P47</f>
        <v/>
      </c>
      <c r="R47">
        <f>$H47&gt;=PARAMETROS!$B$3</f>
        <v/>
      </c>
    </row>
    <row r="48">
      <c r="A48" s="23">
        <f>INPUT_CARTEIRA!A48</f>
        <v/>
      </c>
      <c r="B48" s="14">
        <f>INPUT_CARTEIRA!B48</f>
        <v/>
      </c>
      <c r="C48" s="14">
        <f>INPUT_CARTEIRA!C48</f>
        <v/>
      </c>
      <c r="D48">
        <f>INPUT_CARTEIRA!D48</f>
        <v/>
      </c>
      <c r="E48">
        <f>INPUT_CARTEIRA!E48</f>
        <v/>
      </c>
      <c r="F48" s="12">
        <f>INPUT_CARTEIRA!F48</f>
        <v/>
      </c>
      <c r="G48" s="23">
        <f>INPUT_CARTEIRA!G48</f>
        <v/>
      </c>
      <c r="H48" s="9">
        <f>INPUT_CARTEIRA!H48</f>
        <v/>
      </c>
      <c r="I48">
        <f>INPUT_CARTEIRA!I48</f>
        <v/>
      </c>
      <c r="J48" s="12">
        <f>INPUT_CARTEIRA!J48</f>
        <v/>
      </c>
      <c r="K48" s="10">
        <f>INPUT_CARTEIRA!K48</f>
        <v/>
      </c>
      <c r="L48">
        <f>INPUT_CARTEIRA!L48</f>
        <v/>
      </c>
      <c r="M48">
        <f>IF($H48=0,"0",IF($H48&lt;=30,"1-30",IF($H48&lt;=60,"31-60",IF($H48&lt;=90,"61-90",IF($H48&lt;=180,"91-180","&gt;180")))))</f>
        <v/>
      </c>
      <c r="N48" s="10">
        <f>VLOOKUP($H48,REGUA_PDD!$A$4:$B$9,2,TRUE)</f>
        <v/>
      </c>
      <c r="O48" s="10">
        <f>INDEX(EFEITO_VAGAO!$F$4:$F$27, MATCH($C48, EFEITO_VAGAO!$A$4:$A$27, 0))</f>
        <v/>
      </c>
      <c r="P48" s="10">
        <f>IF(PARAMETROS!$B$5="SIM",MAX($N48,$O48),$N48)</f>
        <v/>
      </c>
      <c r="Q48" s="12">
        <f>$F48*$P48</f>
        <v/>
      </c>
      <c r="R48">
        <f>$H48&gt;=PARAMETROS!$B$3</f>
        <v/>
      </c>
    </row>
    <row r="49">
      <c r="A49" s="23">
        <f>INPUT_CARTEIRA!A49</f>
        <v/>
      </c>
      <c r="B49" s="14">
        <f>INPUT_CARTEIRA!B49</f>
        <v/>
      </c>
      <c r="C49" s="14">
        <f>INPUT_CARTEIRA!C49</f>
        <v/>
      </c>
      <c r="D49">
        <f>INPUT_CARTEIRA!D49</f>
        <v/>
      </c>
      <c r="E49">
        <f>INPUT_CARTEIRA!E49</f>
        <v/>
      </c>
      <c r="F49" s="12">
        <f>INPUT_CARTEIRA!F49</f>
        <v/>
      </c>
      <c r="G49" s="23">
        <f>INPUT_CARTEIRA!G49</f>
        <v/>
      </c>
      <c r="H49" s="9">
        <f>INPUT_CARTEIRA!H49</f>
        <v/>
      </c>
      <c r="I49">
        <f>INPUT_CARTEIRA!I49</f>
        <v/>
      </c>
      <c r="J49" s="12">
        <f>INPUT_CARTEIRA!J49</f>
        <v/>
      </c>
      <c r="K49" s="10">
        <f>INPUT_CARTEIRA!K49</f>
        <v/>
      </c>
      <c r="L49">
        <f>INPUT_CARTEIRA!L49</f>
        <v/>
      </c>
      <c r="M49">
        <f>IF($H49=0,"0",IF($H49&lt;=30,"1-30",IF($H49&lt;=60,"31-60",IF($H49&lt;=90,"61-90",IF($H49&lt;=180,"91-180","&gt;180")))))</f>
        <v/>
      </c>
      <c r="N49" s="10">
        <f>VLOOKUP($H49,REGUA_PDD!$A$4:$B$9,2,TRUE)</f>
        <v/>
      </c>
      <c r="O49" s="10">
        <f>INDEX(EFEITO_VAGAO!$F$4:$F$27, MATCH($C49, EFEITO_VAGAO!$A$4:$A$27, 0))</f>
        <v/>
      </c>
      <c r="P49" s="10">
        <f>IF(PARAMETROS!$B$5="SIM",MAX($N49,$O49),$N49)</f>
        <v/>
      </c>
      <c r="Q49" s="12">
        <f>$F49*$P49</f>
        <v/>
      </c>
      <c r="R49">
        <f>$H49&gt;=PARAMETROS!$B$3</f>
        <v/>
      </c>
    </row>
    <row r="50">
      <c r="A50" s="23">
        <f>INPUT_CARTEIRA!A50</f>
        <v/>
      </c>
      <c r="B50" s="14">
        <f>INPUT_CARTEIRA!B50</f>
        <v/>
      </c>
      <c r="C50" s="14">
        <f>INPUT_CARTEIRA!C50</f>
        <v/>
      </c>
      <c r="D50">
        <f>INPUT_CARTEIRA!D50</f>
        <v/>
      </c>
      <c r="E50">
        <f>INPUT_CARTEIRA!E50</f>
        <v/>
      </c>
      <c r="F50" s="12">
        <f>INPUT_CARTEIRA!F50</f>
        <v/>
      </c>
      <c r="G50" s="23">
        <f>INPUT_CARTEIRA!G50</f>
        <v/>
      </c>
      <c r="H50" s="9">
        <f>INPUT_CARTEIRA!H50</f>
        <v/>
      </c>
      <c r="I50">
        <f>INPUT_CARTEIRA!I50</f>
        <v/>
      </c>
      <c r="J50" s="12">
        <f>INPUT_CARTEIRA!J50</f>
        <v/>
      </c>
      <c r="K50" s="10">
        <f>INPUT_CARTEIRA!K50</f>
        <v/>
      </c>
      <c r="L50">
        <f>INPUT_CARTEIRA!L50</f>
        <v/>
      </c>
      <c r="M50">
        <f>IF($H50=0,"0",IF($H50&lt;=30,"1-30",IF($H50&lt;=60,"31-60",IF($H50&lt;=90,"61-90",IF($H50&lt;=180,"91-180","&gt;180")))))</f>
        <v/>
      </c>
      <c r="N50" s="10">
        <f>VLOOKUP($H50,REGUA_PDD!$A$4:$B$9,2,TRUE)</f>
        <v/>
      </c>
      <c r="O50" s="10">
        <f>INDEX(EFEITO_VAGAO!$F$4:$F$27, MATCH($C50, EFEITO_VAGAO!$A$4:$A$27, 0))</f>
        <v/>
      </c>
      <c r="P50" s="10">
        <f>IF(PARAMETROS!$B$5="SIM",MAX($N50,$O50),$N50)</f>
        <v/>
      </c>
      <c r="Q50" s="12">
        <f>$F50*$P50</f>
        <v/>
      </c>
      <c r="R50">
        <f>$H50&gt;=PARAMETROS!$B$3</f>
        <v/>
      </c>
    </row>
    <row r="51">
      <c r="A51" s="23">
        <f>INPUT_CARTEIRA!A51</f>
        <v/>
      </c>
      <c r="B51" s="14">
        <f>INPUT_CARTEIRA!B51</f>
        <v/>
      </c>
      <c r="C51" s="14">
        <f>INPUT_CARTEIRA!C51</f>
        <v/>
      </c>
      <c r="D51">
        <f>INPUT_CARTEIRA!D51</f>
        <v/>
      </c>
      <c r="E51">
        <f>INPUT_CARTEIRA!E51</f>
        <v/>
      </c>
      <c r="F51" s="12">
        <f>INPUT_CARTEIRA!F51</f>
        <v/>
      </c>
      <c r="G51" s="23">
        <f>INPUT_CARTEIRA!G51</f>
        <v/>
      </c>
      <c r="H51" s="9">
        <f>INPUT_CARTEIRA!H51</f>
        <v/>
      </c>
      <c r="I51">
        <f>INPUT_CARTEIRA!I51</f>
        <v/>
      </c>
      <c r="J51" s="12">
        <f>INPUT_CARTEIRA!J51</f>
        <v/>
      </c>
      <c r="K51" s="10">
        <f>INPUT_CARTEIRA!K51</f>
        <v/>
      </c>
      <c r="L51">
        <f>INPUT_CARTEIRA!L51</f>
        <v/>
      </c>
      <c r="M51">
        <f>IF($H51=0,"0",IF($H51&lt;=30,"1-30",IF($H51&lt;=60,"31-60",IF($H51&lt;=90,"61-90",IF($H51&lt;=180,"91-180","&gt;180")))))</f>
        <v/>
      </c>
      <c r="N51" s="10">
        <f>VLOOKUP($H51,REGUA_PDD!$A$4:$B$9,2,TRUE)</f>
        <v/>
      </c>
      <c r="O51" s="10">
        <f>INDEX(EFEITO_VAGAO!$F$4:$F$27, MATCH($C51, EFEITO_VAGAO!$A$4:$A$27, 0))</f>
        <v/>
      </c>
      <c r="P51" s="10">
        <f>IF(PARAMETROS!$B$5="SIM",MAX($N51,$O51),$N51)</f>
        <v/>
      </c>
      <c r="Q51" s="12">
        <f>$F51*$P51</f>
        <v/>
      </c>
      <c r="R51">
        <f>$H51&gt;=PARAMETROS!$B$3</f>
        <v/>
      </c>
    </row>
    <row r="52">
      <c r="A52" s="23">
        <f>INPUT_CARTEIRA!A52</f>
        <v/>
      </c>
      <c r="B52" s="14">
        <f>INPUT_CARTEIRA!B52</f>
        <v/>
      </c>
      <c r="C52" s="14">
        <f>INPUT_CARTEIRA!C52</f>
        <v/>
      </c>
      <c r="D52">
        <f>INPUT_CARTEIRA!D52</f>
        <v/>
      </c>
      <c r="E52">
        <f>INPUT_CARTEIRA!E52</f>
        <v/>
      </c>
      <c r="F52" s="12">
        <f>INPUT_CARTEIRA!F52</f>
        <v/>
      </c>
      <c r="G52" s="23">
        <f>INPUT_CARTEIRA!G52</f>
        <v/>
      </c>
      <c r="H52" s="9">
        <f>INPUT_CARTEIRA!H52</f>
        <v/>
      </c>
      <c r="I52">
        <f>INPUT_CARTEIRA!I52</f>
        <v/>
      </c>
      <c r="J52" s="12">
        <f>INPUT_CARTEIRA!J52</f>
        <v/>
      </c>
      <c r="K52" s="10">
        <f>INPUT_CARTEIRA!K52</f>
        <v/>
      </c>
      <c r="L52">
        <f>INPUT_CARTEIRA!L52</f>
        <v/>
      </c>
      <c r="M52">
        <f>IF($H52=0,"0",IF($H52&lt;=30,"1-30",IF($H52&lt;=60,"31-60",IF($H52&lt;=90,"61-90",IF($H52&lt;=180,"91-180","&gt;180")))))</f>
        <v/>
      </c>
      <c r="N52" s="10">
        <f>VLOOKUP($H52,REGUA_PDD!$A$4:$B$9,2,TRUE)</f>
        <v/>
      </c>
      <c r="O52" s="10">
        <f>INDEX(EFEITO_VAGAO!$F$4:$F$27, MATCH($C52, EFEITO_VAGAO!$A$4:$A$27, 0))</f>
        <v/>
      </c>
      <c r="P52" s="10">
        <f>IF(PARAMETROS!$B$5="SIM",MAX($N52,$O52),$N52)</f>
        <v/>
      </c>
      <c r="Q52" s="12">
        <f>$F52*$P52</f>
        <v/>
      </c>
      <c r="R52">
        <f>$H52&gt;=PARAMETROS!$B$3</f>
        <v/>
      </c>
    </row>
    <row r="53">
      <c r="A53" s="23">
        <f>INPUT_CARTEIRA!A53</f>
        <v/>
      </c>
      <c r="B53" s="14">
        <f>INPUT_CARTEIRA!B53</f>
        <v/>
      </c>
      <c r="C53" s="14">
        <f>INPUT_CARTEIRA!C53</f>
        <v/>
      </c>
      <c r="D53">
        <f>INPUT_CARTEIRA!D53</f>
        <v/>
      </c>
      <c r="E53">
        <f>INPUT_CARTEIRA!E53</f>
        <v/>
      </c>
      <c r="F53" s="12">
        <f>INPUT_CARTEIRA!F53</f>
        <v/>
      </c>
      <c r="G53" s="23">
        <f>INPUT_CARTEIRA!G53</f>
        <v/>
      </c>
      <c r="H53" s="9">
        <f>INPUT_CARTEIRA!H53</f>
        <v/>
      </c>
      <c r="I53">
        <f>INPUT_CARTEIRA!I53</f>
        <v/>
      </c>
      <c r="J53" s="12">
        <f>INPUT_CARTEIRA!J53</f>
        <v/>
      </c>
      <c r="K53" s="10">
        <f>INPUT_CARTEIRA!K53</f>
        <v/>
      </c>
      <c r="L53">
        <f>INPUT_CARTEIRA!L53</f>
        <v/>
      </c>
      <c r="M53">
        <f>IF($H53=0,"0",IF($H53&lt;=30,"1-30",IF($H53&lt;=60,"31-60",IF($H53&lt;=90,"61-90",IF($H53&lt;=180,"91-180","&gt;180")))))</f>
        <v/>
      </c>
      <c r="N53" s="10">
        <f>VLOOKUP($H53,REGUA_PDD!$A$4:$B$9,2,TRUE)</f>
        <v/>
      </c>
      <c r="O53" s="10">
        <f>INDEX(EFEITO_VAGAO!$F$4:$F$27, MATCH($C53, EFEITO_VAGAO!$A$4:$A$27, 0))</f>
        <v/>
      </c>
      <c r="P53" s="10">
        <f>IF(PARAMETROS!$B$5="SIM",MAX($N53,$O53),$N53)</f>
        <v/>
      </c>
      <c r="Q53" s="12">
        <f>$F53*$P53</f>
        <v/>
      </c>
      <c r="R53">
        <f>$H53&gt;=PARAMETROS!$B$3</f>
        <v/>
      </c>
    </row>
    <row r="54">
      <c r="A54" s="23">
        <f>INPUT_CARTEIRA!A54</f>
        <v/>
      </c>
      <c r="B54" s="14">
        <f>INPUT_CARTEIRA!B54</f>
        <v/>
      </c>
      <c r="C54" s="14">
        <f>INPUT_CARTEIRA!C54</f>
        <v/>
      </c>
      <c r="D54">
        <f>INPUT_CARTEIRA!D54</f>
        <v/>
      </c>
      <c r="E54">
        <f>INPUT_CARTEIRA!E54</f>
        <v/>
      </c>
      <c r="F54" s="12">
        <f>INPUT_CARTEIRA!F54</f>
        <v/>
      </c>
      <c r="G54" s="23">
        <f>INPUT_CARTEIRA!G54</f>
        <v/>
      </c>
      <c r="H54" s="9">
        <f>INPUT_CARTEIRA!H54</f>
        <v/>
      </c>
      <c r="I54">
        <f>INPUT_CARTEIRA!I54</f>
        <v/>
      </c>
      <c r="J54" s="12">
        <f>INPUT_CARTEIRA!J54</f>
        <v/>
      </c>
      <c r="K54" s="10">
        <f>INPUT_CARTEIRA!K54</f>
        <v/>
      </c>
      <c r="L54">
        <f>INPUT_CARTEIRA!L54</f>
        <v/>
      </c>
      <c r="M54">
        <f>IF($H54=0,"0",IF($H54&lt;=30,"1-30",IF($H54&lt;=60,"31-60",IF($H54&lt;=90,"61-90",IF($H54&lt;=180,"91-180","&gt;180")))))</f>
        <v/>
      </c>
      <c r="N54" s="10">
        <f>VLOOKUP($H54,REGUA_PDD!$A$4:$B$9,2,TRUE)</f>
        <v/>
      </c>
      <c r="O54" s="10">
        <f>INDEX(EFEITO_VAGAO!$F$4:$F$27, MATCH($C54, EFEITO_VAGAO!$A$4:$A$27, 0))</f>
        <v/>
      </c>
      <c r="P54" s="10">
        <f>IF(PARAMETROS!$B$5="SIM",MAX($N54,$O54),$N54)</f>
        <v/>
      </c>
      <c r="Q54" s="12">
        <f>$F54*$P54</f>
        <v/>
      </c>
      <c r="R54">
        <f>$H54&gt;=PARAMETROS!$B$3</f>
        <v/>
      </c>
    </row>
    <row r="55">
      <c r="A55" s="23">
        <f>INPUT_CARTEIRA!A55</f>
        <v/>
      </c>
      <c r="B55" s="14">
        <f>INPUT_CARTEIRA!B55</f>
        <v/>
      </c>
      <c r="C55" s="14">
        <f>INPUT_CARTEIRA!C55</f>
        <v/>
      </c>
      <c r="D55">
        <f>INPUT_CARTEIRA!D55</f>
        <v/>
      </c>
      <c r="E55">
        <f>INPUT_CARTEIRA!E55</f>
        <v/>
      </c>
      <c r="F55" s="12">
        <f>INPUT_CARTEIRA!F55</f>
        <v/>
      </c>
      <c r="G55" s="23">
        <f>INPUT_CARTEIRA!G55</f>
        <v/>
      </c>
      <c r="H55" s="9">
        <f>INPUT_CARTEIRA!H55</f>
        <v/>
      </c>
      <c r="I55">
        <f>INPUT_CARTEIRA!I55</f>
        <v/>
      </c>
      <c r="J55" s="12">
        <f>INPUT_CARTEIRA!J55</f>
        <v/>
      </c>
      <c r="K55" s="10">
        <f>INPUT_CARTEIRA!K55</f>
        <v/>
      </c>
      <c r="L55">
        <f>INPUT_CARTEIRA!L55</f>
        <v/>
      </c>
      <c r="M55">
        <f>IF($H55=0,"0",IF($H55&lt;=30,"1-30",IF($H55&lt;=60,"31-60",IF($H55&lt;=90,"61-90",IF($H55&lt;=180,"91-180","&gt;180")))))</f>
        <v/>
      </c>
      <c r="N55" s="10">
        <f>VLOOKUP($H55,REGUA_PDD!$A$4:$B$9,2,TRUE)</f>
        <v/>
      </c>
      <c r="O55" s="10">
        <f>INDEX(EFEITO_VAGAO!$F$4:$F$27, MATCH($C55, EFEITO_VAGAO!$A$4:$A$27, 0))</f>
        <v/>
      </c>
      <c r="P55" s="10">
        <f>IF(PARAMETROS!$B$5="SIM",MAX($N55,$O55),$N55)</f>
        <v/>
      </c>
      <c r="Q55" s="12">
        <f>$F55*$P55</f>
        <v/>
      </c>
      <c r="R55">
        <f>$H55&gt;=PARAMETROS!$B$3</f>
        <v/>
      </c>
    </row>
    <row r="56">
      <c r="A56" s="23">
        <f>INPUT_CARTEIRA!A56</f>
        <v/>
      </c>
      <c r="B56" s="14">
        <f>INPUT_CARTEIRA!B56</f>
        <v/>
      </c>
      <c r="C56" s="14">
        <f>INPUT_CARTEIRA!C56</f>
        <v/>
      </c>
      <c r="D56">
        <f>INPUT_CARTEIRA!D56</f>
        <v/>
      </c>
      <c r="E56">
        <f>INPUT_CARTEIRA!E56</f>
        <v/>
      </c>
      <c r="F56" s="12">
        <f>INPUT_CARTEIRA!F56</f>
        <v/>
      </c>
      <c r="G56" s="23">
        <f>INPUT_CARTEIRA!G56</f>
        <v/>
      </c>
      <c r="H56" s="9">
        <f>INPUT_CARTEIRA!H56</f>
        <v/>
      </c>
      <c r="I56">
        <f>INPUT_CARTEIRA!I56</f>
        <v/>
      </c>
      <c r="J56" s="12">
        <f>INPUT_CARTEIRA!J56</f>
        <v/>
      </c>
      <c r="K56" s="10">
        <f>INPUT_CARTEIRA!K56</f>
        <v/>
      </c>
      <c r="L56">
        <f>INPUT_CARTEIRA!L56</f>
        <v/>
      </c>
      <c r="M56">
        <f>IF($H56=0,"0",IF($H56&lt;=30,"1-30",IF($H56&lt;=60,"31-60",IF($H56&lt;=90,"61-90",IF($H56&lt;=180,"91-180","&gt;180")))))</f>
        <v/>
      </c>
      <c r="N56" s="10">
        <f>VLOOKUP($H56,REGUA_PDD!$A$4:$B$9,2,TRUE)</f>
        <v/>
      </c>
      <c r="O56" s="10">
        <f>INDEX(EFEITO_VAGAO!$F$4:$F$27, MATCH($C56, EFEITO_VAGAO!$A$4:$A$27, 0))</f>
        <v/>
      </c>
      <c r="P56" s="10">
        <f>IF(PARAMETROS!$B$5="SIM",MAX($N56,$O56),$N56)</f>
        <v/>
      </c>
      <c r="Q56" s="12">
        <f>$F56*$P56</f>
        <v/>
      </c>
      <c r="R56">
        <f>$H56&gt;=PARAMETROS!$B$3</f>
        <v/>
      </c>
    </row>
    <row r="57">
      <c r="A57" s="23">
        <f>INPUT_CARTEIRA!A57</f>
        <v/>
      </c>
      <c r="B57" s="14">
        <f>INPUT_CARTEIRA!B57</f>
        <v/>
      </c>
      <c r="C57" s="14">
        <f>INPUT_CARTEIRA!C57</f>
        <v/>
      </c>
      <c r="D57">
        <f>INPUT_CARTEIRA!D57</f>
        <v/>
      </c>
      <c r="E57">
        <f>INPUT_CARTEIRA!E57</f>
        <v/>
      </c>
      <c r="F57" s="12">
        <f>INPUT_CARTEIRA!F57</f>
        <v/>
      </c>
      <c r="G57" s="23">
        <f>INPUT_CARTEIRA!G57</f>
        <v/>
      </c>
      <c r="H57" s="9">
        <f>INPUT_CARTEIRA!H57</f>
        <v/>
      </c>
      <c r="I57">
        <f>INPUT_CARTEIRA!I57</f>
        <v/>
      </c>
      <c r="J57" s="12">
        <f>INPUT_CARTEIRA!J57</f>
        <v/>
      </c>
      <c r="K57" s="10">
        <f>INPUT_CARTEIRA!K57</f>
        <v/>
      </c>
      <c r="L57">
        <f>INPUT_CARTEIRA!L57</f>
        <v/>
      </c>
      <c r="M57">
        <f>IF($H57=0,"0",IF($H57&lt;=30,"1-30",IF($H57&lt;=60,"31-60",IF($H57&lt;=90,"61-90",IF($H57&lt;=180,"91-180","&gt;180")))))</f>
        <v/>
      </c>
      <c r="N57" s="10">
        <f>VLOOKUP($H57,REGUA_PDD!$A$4:$B$9,2,TRUE)</f>
        <v/>
      </c>
      <c r="O57" s="10">
        <f>INDEX(EFEITO_VAGAO!$F$4:$F$27, MATCH($C57, EFEITO_VAGAO!$A$4:$A$27, 0))</f>
        <v/>
      </c>
      <c r="P57" s="10">
        <f>IF(PARAMETROS!$B$5="SIM",MAX($N57,$O57),$N57)</f>
        <v/>
      </c>
      <c r="Q57" s="12">
        <f>$F57*$P57</f>
        <v/>
      </c>
      <c r="R57">
        <f>$H57&gt;=PARAMETROS!$B$3</f>
        <v/>
      </c>
    </row>
    <row r="58">
      <c r="A58" s="23">
        <f>INPUT_CARTEIRA!A58</f>
        <v/>
      </c>
      <c r="B58" s="14">
        <f>INPUT_CARTEIRA!B58</f>
        <v/>
      </c>
      <c r="C58" s="14">
        <f>INPUT_CARTEIRA!C58</f>
        <v/>
      </c>
      <c r="D58">
        <f>INPUT_CARTEIRA!D58</f>
        <v/>
      </c>
      <c r="E58">
        <f>INPUT_CARTEIRA!E58</f>
        <v/>
      </c>
      <c r="F58" s="12">
        <f>INPUT_CARTEIRA!F58</f>
        <v/>
      </c>
      <c r="G58" s="23">
        <f>INPUT_CARTEIRA!G58</f>
        <v/>
      </c>
      <c r="H58" s="9">
        <f>INPUT_CARTEIRA!H58</f>
        <v/>
      </c>
      <c r="I58">
        <f>INPUT_CARTEIRA!I58</f>
        <v/>
      </c>
      <c r="J58" s="12">
        <f>INPUT_CARTEIRA!J58</f>
        <v/>
      </c>
      <c r="K58" s="10">
        <f>INPUT_CARTEIRA!K58</f>
        <v/>
      </c>
      <c r="L58">
        <f>INPUT_CARTEIRA!L58</f>
        <v/>
      </c>
      <c r="M58">
        <f>IF($H58=0,"0",IF($H58&lt;=30,"1-30",IF($H58&lt;=60,"31-60",IF($H58&lt;=90,"61-90",IF($H58&lt;=180,"91-180","&gt;180")))))</f>
        <v/>
      </c>
      <c r="N58" s="10">
        <f>VLOOKUP($H58,REGUA_PDD!$A$4:$B$9,2,TRUE)</f>
        <v/>
      </c>
      <c r="O58" s="10">
        <f>INDEX(EFEITO_VAGAO!$F$4:$F$27, MATCH($C58, EFEITO_VAGAO!$A$4:$A$27, 0))</f>
        <v/>
      </c>
      <c r="P58" s="10">
        <f>IF(PARAMETROS!$B$5="SIM",MAX($N58,$O58),$N58)</f>
        <v/>
      </c>
      <c r="Q58" s="12">
        <f>$F58*$P58</f>
        <v/>
      </c>
      <c r="R58">
        <f>$H58&gt;=PARAMETROS!$B$3</f>
        <v/>
      </c>
    </row>
    <row r="59">
      <c r="A59" s="23">
        <f>INPUT_CARTEIRA!A59</f>
        <v/>
      </c>
      <c r="B59" s="14">
        <f>INPUT_CARTEIRA!B59</f>
        <v/>
      </c>
      <c r="C59" s="14">
        <f>INPUT_CARTEIRA!C59</f>
        <v/>
      </c>
      <c r="D59">
        <f>INPUT_CARTEIRA!D59</f>
        <v/>
      </c>
      <c r="E59">
        <f>INPUT_CARTEIRA!E59</f>
        <v/>
      </c>
      <c r="F59" s="12">
        <f>INPUT_CARTEIRA!F59</f>
        <v/>
      </c>
      <c r="G59" s="23">
        <f>INPUT_CARTEIRA!G59</f>
        <v/>
      </c>
      <c r="H59" s="9">
        <f>INPUT_CARTEIRA!H59</f>
        <v/>
      </c>
      <c r="I59">
        <f>INPUT_CARTEIRA!I59</f>
        <v/>
      </c>
      <c r="J59" s="12">
        <f>INPUT_CARTEIRA!J59</f>
        <v/>
      </c>
      <c r="K59" s="10">
        <f>INPUT_CARTEIRA!K59</f>
        <v/>
      </c>
      <c r="L59">
        <f>INPUT_CARTEIRA!L59</f>
        <v/>
      </c>
      <c r="M59">
        <f>IF($H59=0,"0",IF($H59&lt;=30,"1-30",IF($H59&lt;=60,"31-60",IF($H59&lt;=90,"61-90",IF($H59&lt;=180,"91-180","&gt;180")))))</f>
        <v/>
      </c>
      <c r="N59" s="10">
        <f>VLOOKUP($H59,REGUA_PDD!$A$4:$B$9,2,TRUE)</f>
        <v/>
      </c>
      <c r="O59" s="10">
        <f>INDEX(EFEITO_VAGAO!$F$4:$F$27, MATCH($C59, EFEITO_VAGAO!$A$4:$A$27, 0))</f>
        <v/>
      </c>
      <c r="P59" s="10">
        <f>IF(PARAMETROS!$B$5="SIM",MAX($N59,$O59),$N59)</f>
        <v/>
      </c>
      <c r="Q59" s="12">
        <f>$F59*$P59</f>
        <v/>
      </c>
      <c r="R59">
        <f>$H59&gt;=PARAMETROS!$B$3</f>
        <v/>
      </c>
    </row>
    <row r="60">
      <c r="A60" s="23">
        <f>INPUT_CARTEIRA!A60</f>
        <v/>
      </c>
      <c r="B60" s="14">
        <f>INPUT_CARTEIRA!B60</f>
        <v/>
      </c>
      <c r="C60" s="14">
        <f>INPUT_CARTEIRA!C60</f>
        <v/>
      </c>
      <c r="D60">
        <f>INPUT_CARTEIRA!D60</f>
        <v/>
      </c>
      <c r="E60">
        <f>INPUT_CARTEIRA!E60</f>
        <v/>
      </c>
      <c r="F60" s="12">
        <f>INPUT_CARTEIRA!F60</f>
        <v/>
      </c>
      <c r="G60" s="23">
        <f>INPUT_CARTEIRA!G60</f>
        <v/>
      </c>
      <c r="H60" s="9">
        <f>INPUT_CARTEIRA!H60</f>
        <v/>
      </c>
      <c r="I60">
        <f>INPUT_CARTEIRA!I60</f>
        <v/>
      </c>
      <c r="J60" s="12">
        <f>INPUT_CARTEIRA!J60</f>
        <v/>
      </c>
      <c r="K60" s="10">
        <f>INPUT_CARTEIRA!K60</f>
        <v/>
      </c>
      <c r="L60">
        <f>INPUT_CARTEIRA!L60</f>
        <v/>
      </c>
      <c r="M60">
        <f>IF($H60=0,"0",IF($H60&lt;=30,"1-30",IF($H60&lt;=60,"31-60",IF($H60&lt;=90,"61-90",IF($H60&lt;=180,"91-180","&gt;180")))))</f>
        <v/>
      </c>
      <c r="N60" s="10">
        <f>VLOOKUP($H60,REGUA_PDD!$A$4:$B$9,2,TRUE)</f>
        <v/>
      </c>
      <c r="O60" s="10">
        <f>INDEX(EFEITO_VAGAO!$F$4:$F$27, MATCH($C60, EFEITO_VAGAO!$A$4:$A$27, 0))</f>
        <v/>
      </c>
      <c r="P60" s="10">
        <f>IF(PARAMETROS!$B$5="SIM",MAX($N60,$O60),$N60)</f>
        <v/>
      </c>
      <c r="Q60" s="12">
        <f>$F60*$P60</f>
        <v/>
      </c>
      <c r="R60">
        <f>$H60&gt;=PARAMETROS!$B$3</f>
        <v/>
      </c>
    </row>
    <row r="61">
      <c r="A61" s="23">
        <f>INPUT_CARTEIRA!A61</f>
        <v/>
      </c>
      <c r="B61" s="14">
        <f>INPUT_CARTEIRA!B61</f>
        <v/>
      </c>
      <c r="C61" s="14">
        <f>INPUT_CARTEIRA!C61</f>
        <v/>
      </c>
      <c r="D61">
        <f>INPUT_CARTEIRA!D61</f>
        <v/>
      </c>
      <c r="E61">
        <f>INPUT_CARTEIRA!E61</f>
        <v/>
      </c>
      <c r="F61" s="12">
        <f>INPUT_CARTEIRA!F61</f>
        <v/>
      </c>
      <c r="G61" s="23">
        <f>INPUT_CARTEIRA!G61</f>
        <v/>
      </c>
      <c r="H61" s="9">
        <f>INPUT_CARTEIRA!H61</f>
        <v/>
      </c>
      <c r="I61">
        <f>INPUT_CARTEIRA!I61</f>
        <v/>
      </c>
      <c r="J61" s="12">
        <f>INPUT_CARTEIRA!J61</f>
        <v/>
      </c>
      <c r="K61" s="10">
        <f>INPUT_CARTEIRA!K61</f>
        <v/>
      </c>
      <c r="L61">
        <f>INPUT_CARTEIRA!L61</f>
        <v/>
      </c>
      <c r="M61">
        <f>IF($H61=0,"0",IF($H61&lt;=30,"1-30",IF($H61&lt;=60,"31-60",IF($H61&lt;=90,"61-90",IF($H61&lt;=180,"91-180","&gt;180")))))</f>
        <v/>
      </c>
      <c r="N61" s="10">
        <f>VLOOKUP($H61,REGUA_PDD!$A$4:$B$9,2,TRUE)</f>
        <v/>
      </c>
      <c r="O61" s="10">
        <f>INDEX(EFEITO_VAGAO!$F$4:$F$27, MATCH($C61, EFEITO_VAGAO!$A$4:$A$27, 0))</f>
        <v/>
      </c>
      <c r="P61" s="10">
        <f>IF(PARAMETROS!$B$5="SIM",MAX($N61,$O61),$N61)</f>
        <v/>
      </c>
      <c r="Q61" s="12">
        <f>$F61*$P61</f>
        <v/>
      </c>
      <c r="R61">
        <f>$H61&gt;=PARAMETROS!$B$3</f>
        <v/>
      </c>
    </row>
    <row r="62">
      <c r="A62" s="23">
        <f>INPUT_CARTEIRA!A62</f>
        <v/>
      </c>
      <c r="B62" s="14">
        <f>INPUT_CARTEIRA!B62</f>
        <v/>
      </c>
      <c r="C62" s="14">
        <f>INPUT_CARTEIRA!C62</f>
        <v/>
      </c>
      <c r="D62">
        <f>INPUT_CARTEIRA!D62</f>
        <v/>
      </c>
      <c r="E62">
        <f>INPUT_CARTEIRA!E62</f>
        <v/>
      </c>
      <c r="F62" s="12">
        <f>INPUT_CARTEIRA!F62</f>
        <v/>
      </c>
      <c r="G62" s="23">
        <f>INPUT_CARTEIRA!G62</f>
        <v/>
      </c>
      <c r="H62" s="9">
        <f>INPUT_CARTEIRA!H62</f>
        <v/>
      </c>
      <c r="I62">
        <f>INPUT_CARTEIRA!I62</f>
        <v/>
      </c>
      <c r="J62" s="12">
        <f>INPUT_CARTEIRA!J62</f>
        <v/>
      </c>
      <c r="K62" s="10">
        <f>INPUT_CARTEIRA!K62</f>
        <v/>
      </c>
      <c r="L62">
        <f>INPUT_CARTEIRA!L62</f>
        <v/>
      </c>
      <c r="M62">
        <f>IF($H62=0,"0",IF($H62&lt;=30,"1-30",IF($H62&lt;=60,"31-60",IF($H62&lt;=90,"61-90",IF($H62&lt;=180,"91-180","&gt;180")))))</f>
        <v/>
      </c>
      <c r="N62" s="10">
        <f>VLOOKUP($H62,REGUA_PDD!$A$4:$B$9,2,TRUE)</f>
        <v/>
      </c>
      <c r="O62" s="10">
        <f>INDEX(EFEITO_VAGAO!$F$4:$F$27, MATCH($C62, EFEITO_VAGAO!$A$4:$A$27, 0))</f>
        <v/>
      </c>
      <c r="P62" s="10">
        <f>IF(PARAMETROS!$B$5="SIM",MAX($N62,$O62),$N62)</f>
        <v/>
      </c>
      <c r="Q62" s="12">
        <f>$F62*$P62</f>
        <v/>
      </c>
      <c r="R62">
        <f>$H62&gt;=PARAMETROS!$B$3</f>
        <v/>
      </c>
    </row>
    <row r="63">
      <c r="A63" s="23">
        <f>INPUT_CARTEIRA!A63</f>
        <v/>
      </c>
      <c r="B63" s="14">
        <f>INPUT_CARTEIRA!B63</f>
        <v/>
      </c>
      <c r="C63" s="14">
        <f>INPUT_CARTEIRA!C63</f>
        <v/>
      </c>
      <c r="D63">
        <f>INPUT_CARTEIRA!D63</f>
        <v/>
      </c>
      <c r="E63">
        <f>INPUT_CARTEIRA!E63</f>
        <v/>
      </c>
      <c r="F63" s="12">
        <f>INPUT_CARTEIRA!F63</f>
        <v/>
      </c>
      <c r="G63" s="23">
        <f>INPUT_CARTEIRA!G63</f>
        <v/>
      </c>
      <c r="H63" s="9">
        <f>INPUT_CARTEIRA!H63</f>
        <v/>
      </c>
      <c r="I63">
        <f>INPUT_CARTEIRA!I63</f>
        <v/>
      </c>
      <c r="J63" s="12">
        <f>INPUT_CARTEIRA!J63</f>
        <v/>
      </c>
      <c r="K63" s="10">
        <f>INPUT_CARTEIRA!K63</f>
        <v/>
      </c>
      <c r="L63">
        <f>INPUT_CARTEIRA!L63</f>
        <v/>
      </c>
      <c r="M63">
        <f>IF($H63=0,"0",IF($H63&lt;=30,"1-30",IF($H63&lt;=60,"31-60",IF($H63&lt;=90,"61-90",IF($H63&lt;=180,"91-180","&gt;180")))))</f>
        <v/>
      </c>
      <c r="N63" s="10">
        <f>VLOOKUP($H63,REGUA_PDD!$A$4:$B$9,2,TRUE)</f>
        <v/>
      </c>
      <c r="O63" s="10">
        <f>INDEX(EFEITO_VAGAO!$F$4:$F$27, MATCH($C63, EFEITO_VAGAO!$A$4:$A$27, 0))</f>
        <v/>
      </c>
      <c r="P63" s="10">
        <f>IF(PARAMETROS!$B$5="SIM",MAX($N63,$O63),$N63)</f>
        <v/>
      </c>
      <c r="Q63" s="12">
        <f>$F63*$P63</f>
        <v/>
      </c>
      <c r="R63">
        <f>$H63&gt;=PARAMETROS!$B$3</f>
        <v/>
      </c>
    </row>
    <row r="64">
      <c r="A64" s="23">
        <f>INPUT_CARTEIRA!A64</f>
        <v/>
      </c>
      <c r="B64" s="14">
        <f>INPUT_CARTEIRA!B64</f>
        <v/>
      </c>
      <c r="C64" s="14">
        <f>INPUT_CARTEIRA!C64</f>
        <v/>
      </c>
      <c r="D64">
        <f>INPUT_CARTEIRA!D64</f>
        <v/>
      </c>
      <c r="E64">
        <f>INPUT_CARTEIRA!E64</f>
        <v/>
      </c>
      <c r="F64" s="12">
        <f>INPUT_CARTEIRA!F64</f>
        <v/>
      </c>
      <c r="G64" s="23">
        <f>INPUT_CARTEIRA!G64</f>
        <v/>
      </c>
      <c r="H64" s="9">
        <f>INPUT_CARTEIRA!H64</f>
        <v/>
      </c>
      <c r="I64">
        <f>INPUT_CARTEIRA!I64</f>
        <v/>
      </c>
      <c r="J64" s="12">
        <f>INPUT_CARTEIRA!J64</f>
        <v/>
      </c>
      <c r="K64" s="10">
        <f>INPUT_CARTEIRA!K64</f>
        <v/>
      </c>
      <c r="L64">
        <f>INPUT_CARTEIRA!L64</f>
        <v/>
      </c>
      <c r="M64">
        <f>IF($H64=0,"0",IF($H64&lt;=30,"1-30",IF($H64&lt;=60,"31-60",IF($H64&lt;=90,"61-90",IF($H64&lt;=180,"91-180","&gt;180")))))</f>
        <v/>
      </c>
      <c r="N64" s="10">
        <f>VLOOKUP($H64,REGUA_PDD!$A$4:$B$9,2,TRUE)</f>
        <v/>
      </c>
      <c r="O64" s="10">
        <f>INDEX(EFEITO_VAGAO!$F$4:$F$27, MATCH($C64, EFEITO_VAGAO!$A$4:$A$27, 0))</f>
        <v/>
      </c>
      <c r="P64" s="10">
        <f>IF(PARAMETROS!$B$5="SIM",MAX($N64,$O64),$N64)</f>
        <v/>
      </c>
      <c r="Q64" s="12">
        <f>$F64*$P64</f>
        <v/>
      </c>
      <c r="R64">
        <f>$H64&gt;=PARAMETROS!$B$3</f>
        <v/>
      </c>
    </row>
    <row r="65">
      <c r="A65" s="23">
        <f>INPUT_CARTEIRA!A65</f>
        <v/>
      </c>
      <c r="B65" s="14">
        <f>INPUT_CARTEIRA!B65</f>
        <v/>
      </c>
      <c r="C65" s="14">
        <f>INPUT_CARTEIRA!C65</f>
        <v/>
      </c>
      <c r="D65">
        <f>INPUT_CARTEIRA!D65</f>
        <v/>
      </c>
      <c r="E65">
        <f>INPUT_CARTEIRA!E65</f>
        <v/>
      </c>
      <c r="F65" s="12">
        <f>INPUT_CARTEIRA!F65</f>
        <v/>
      </c>
      <c r="G65" s="23">
        <f>INPUT_CARTEIRA!G65</f>
        <v/>
      </c>
      <c r="H65" s="9">
        <f>INPUT_CARTEIRA!H65</f>
        <v/>
      </c>
      <c r="I65">
        <f>INPUT_CARTEIRA!I65</f>
        <v/>
      </c>
      <c r="J65" s="12">
        <f>INPUT_CARTEIRA!J65</f>
        <v/>
      </c>
      <c r="K65" s="10">
        <f>INPUT_CARTEIRA!K65</f>
        <v/>
      </c>
      <c r="L65">
        <f>INPUT_CARTEIRA!L65</f>
        <v/>
      </c>
      <c r="M65">
        <f>IF($H65=0,"0",IF($H65&lt;=30,"1-30",IF($H65&lt;=60,"31-60",IF($H65&lt;=90,"61-90",IF($H65&lt;=180,"91-180","&gt;180")))))</f>
        <v/>
      </c>
      <c r="N65" s="10">
        <f>VLOOKUP($H65,REGUA_PDD!$A$4:$B$9,2,TRUE)</f>
        <v/>
      </c>
      <c r="O65" s="10">
        <f>INDEX(EFEITO_VAGAO!$F$4:$F$27, MATCH($C65, EFEITO_VAGAO!$A$4:$A$27, 0))</f>
        <v/>
      </c>
      <c r="P65" s="10">
        <f>IF(PARAMETROS!$B$5="SIM",MAX($N65,$O65),$N65)</f>
        <v/>
      </c>
      <c r="Q65" s="12">
        <f>$F65*$P65</f>
        <v/>
      </c>
      <c r="R65">
        <f>$H65&gt;=PARAMETROS!$B$3</f>
        <v/>
      </c>
    </row>
    <row r="66">
      <c r="A66" s="23">
        <f>INPUT_CARTEIRA!A66</f>
        <v/>
      </c>
      <c r="B66" s="14">
        <f>INPUT_CARTEIRA!B66</f>
        <v/>
      </c>
      <c r="C66" s="14">
        <f>INPUT_CARTEIRA!C66</f>
        <v/>
      </c>
      <c r="D66">
        <f>INPUT_CARTEIRA!D66</f>
        <v/>
      </c>
      <c r="E66">
        <f>INPUT_CARTEIRA!E66</f>
        <v/>
      </c>
      <c r="F66" s="12">
        <f>INPUT_CARTEIRA!F66</f>
        <v/>
      </c>
      <c r="G66" s="23">
        <f>INPUT_CARTEIRA!G66</f>
        <v/>
      </c>
      <c r="H66" s="9">
        <f>INPUT_CARTEIRA!H66</f>
        <v/>
      </c>
      <c r="I66">
        <f>INPUT_CARTEIRA!I66</f>
        <v/>
      </c>
      <c r="J66" s="12">
        <f>INPUT_CARTEIRA!J66</f>
        <v/>
      </c>
      <c r="K66" s="10">
        <f>INPUT_CARTEIRA!K66</f>
        <v/>
      </c>
      <c r="L66">
        <f>INPUT_CARTEIRA!L66</f>
        <v/>
      </c>
      <c r="M66">
        <f>IF($H66=0,"0",IF($H66&lt;=30,"1-30",IF($H66&lt;=60,"31-60",IF($H66&lt;=90,"61-90",IF($H66&lt;=180,"91-180","&gt;180")))))</f>
        <v/>
      </c>
      <c r="N66" s="10">
        <f>VLOOKUP($H66,REGUA_PDD!$A$4:$B$9,2,TRUE)</f>
        <v/>
      </c>
      <c r="O66" s="10">
        <f>INDEX(EFEITO_VAGAO!$F$4:$F$27, MATCH($C66, EFEITO_VAGAO!$A$4:$A$27, 0))</f>
        <v/>
      </c>
      <c r="P66" s="10">
        <f>IF(PARAMETROS!$B$5="SIM",MAX($N66,$O66),$N66)</f>
        <v/>
      </c>
      <c r="Q66" s="12">
        <f>$F66*$P66</f>
        <v/>
      </c>
      <c r="R66">
        <f>$H66&gt;=PARAMETROS!$B$3</f>
        <v/>
      </c>
    </row>
    <row r="67">
      <c r="A67" s="23">
        <f>INPUT_CARTEIRA!A67</f>
        <v/>
      </c>
      <c r="B67" s="14">
        <f>INPUT_CARTEIRA!B67</f>
        <v/>
      </c>
      <c r="C67" s="14">
        <f>INPUT_CARTEIRA!C67</f>
        <v/>
      </c>
      <c r="D67">
        <f>INPUT_CARTEIRA!D67</f>
        <v/>
      </c>
      <c r="E67">
        <f>INPUT_CARTEIRA!E67</f>
        <v/>
      </c>
      <c r="F67" s="12">
        <f>INPUT_CARTEIRA!F67</f>
        <v/>
      </c>
      <c r="G67" s="23">
        <f>INPUT_CARTEIRA!G67</f>
        <v/>
      </c>
      <c r="H67" s="9">
        <f>INPUT_CARTEIRA!H67</f>
        <v/>
      </c>
      <c r="I67">
        <f>INPUT_CARTEIRA!I67</f>
        <v/>
      </c>
      <c r="J67" s="12">
        <f>INPUT_CARTEIRA!J67</f>
        <v/>
      </c>
      <c r="K67" s="10">
        <f>INPUT_CARTEIRA!K67</f>
        <v/>
      </c>
      <c r="L67">
        <f>INPUT_CARTEIRA!L67</f>
        <v/>
      </c>
      <c r="M67">
        <f>IF($H67=0,"0",IF($H67&lt;=30,"1-30",IF($H67&lt;=60,"31-60",IF($H67&lt;=90,"61-90",IF($H67&lt;=180,"91-180","&gt;180")))))</f>
        <v/>
      </c>
      <c r="N67" s="10">
        <f>VLOOKUP($H67,REGUA_PDD!$A$4:$B$9,2,TRUE)</f>
        <v/>
      </c>
      <c r="O67" s="10">
        <f>INDEX(EFEITO_VAGAO!$F$4:$F$27, MATCH($C67, EFEITO_VAGAO!$A$4:$A$27, 0))</f>
        <v/>
      </c>
      <c r="P67" s="10">
        <f>IF(PARAMETROS!$B$5="SIM",MAX($N67,$O67),$N67)</f>
        <v/>
      </c>
      <c r="Q67" s="12">
        <f>$F67*$P67</f>
        <v/>
      </c>
      <c r="R67">
        <f>$H67&gt;=PARAMETROS!$B$3</f>
        <v/>
      </c>
    </row>
    <row r="68">
      <c r="A68" s="23">
        <f>INPUT_CARTEIRA!A68</f>
        <v/>
      </c>
      <c r="B68" s="14">
        <f>INPUT_CARTEIRA!B68</f>
        <v/>
      </c>
      <c r="C68" s="14">
        <f>INPUT_CARTEIRA!C68</f>
        <v/>
      </c>
      <c r="D68">
        <f>INPUT_CARTEIRA!D68</f>
        <v/>
      </c>
      <c r="E68">
        <f>INPUT_CARTEIRA!E68</f>
        <v/>
      </c>
      <c r="F68" s="12">
        <f>INPUT_CARTEIRA!F68</f>
        <v/>
      </c>
      <c r="G68" s="23">
        <f>INPUT_CARTEIRA!G68</f>
        <v/>
      </c>
      <c r="H68" s="9">
        <f>INPUT_CARTEIRA!H68</f>
        <v/>
      </c>
      <c r="I68">
        <f>INPUT_CARTEIRA!I68</f>
        <v/>
      </c>
      <c r="J68" s="12">
        <f>INPUT_CARTEIRA!J68</f>
        <v/>
      </c>
      <c r="K68" s="10">
        <f>INPUT_CARTEIRA!K68</f>
        <v/>
      </c>
      <c r="L68">
        <f>INPUT_CARTEIRA!L68</f>
        <v/>
      </c>
      <c r="M68">
        <f>IF($H68=0,"0",IF($H68&lt;=30,"1-30",IF($H68&lt;=60,"31-60",IF($H68&lt;=90,"61-90",IF($H68&lt;=180,"91-180","&gt;180")))))</f>
        <v/>
      </c>
      <c r="N68" s="10">
        <f>VLOOKUP($H68,REGUA_PDD!$A$4:$B$9,2,TRUE)</f>
        <v/>
      </c>
      <c r="O68" s="10">
        <f>INDEX(EFEITO_VAGAO!$F$4:$F$27, MATCH($C68, EFEITO_VAGAO!$A$4:$A$27, 0))</f>
        <v/>
      </c>
      <c r="P68" s="10">
        <f>IF(PARAMETROS!$B$5="SIM",MAX($N68,$O68),$N68)</f>
        <v/>
      </c>
      <c r="Q68" s="12">
        <f>$F68*$P68</f>
        <v/>
      </c>
      <c r="R68">
        <f>$H68&gt;=PARAMETROS!$B$3</f>
        <v/>
      </c>
    </row>
    <row r="69">
      <c r="A69" s="23">
        <f>INPUT_CARTEIRA!A69</f>
        <v/>
      </c>
      <c r="B69" s="14">
        <f>INPUT_CARTEIRA!B69</f>
        <v/>
      </c>
      <c r="C69" s="14">
        <f>INPUT_CARTEIRA!C69</f>
        <v/>
      </c>
      <c r="D69">
        <f>INPUT_CARTEIRA!D69</f>
        <v/>
      </c>
      <c r="E69">
        <f>INPUT_CARTEIRA!E69</f>
        <v/>
      </c>
      <c r="F69" s="12">
        <f>INPUT_CARTEIRA!F69</f>
        <v/>
      </c>
      <c r="G69" s="23">
        <f>INPUT_CARTEIRA!G69</f>
        <v/>
      </c>
      <c r="H69" s="9">
        <f>INPUT_CARTEIRA!H69</f>
        <v/>
      </c>
      <c r="I69">
        <f>INPUT_CARTEIRA!I69</f>
        <v/>
      </c>
      <c r="J69" s="12">
        <f>INPUT_CARTEIRA!J69</f>
        <v/>
      </c>
      <c r="K69" s="10">
        <f>INPUT_CARTEIRA!K69</f>
        <v/>
      </c>
      <c r="L69">
        <f>INPUT_CARTEIRA!L69</f>
        <v/>
      </c>
      <c r="M69">
        <f>IF($H69=0,"0",IF($H69&lt;=30,"1-30",IF($H69&lt;=60,"31-60",IF($H69&lt;=90,"61-90",IF($H69&lt;=180,"91-180","&gt;180")))))</f>
        <v/>
      </c>
      <c r="N69" s="10">
        <f>VLOOKUP($H69,REGUA_PDD!$A$4:$B$9,2,TRUE)</f>
        <v/>
      </c>
      <c r="O69" s="10">
        <f>INDEX(EFEITO_VAGAO!$F$4:$F$27, MATCH($C69, EFEITO_VAGAO!$A$4:$A$27, 0))</f>
        <v/>
      </c>
      <c r="P69" s="10">
        <f>IF(PARAMETROS!$B$5="SIM",MAX($N69,$O69),$N69)</f>
        <v/>
      </c>
      <c r="Q69" s="12">
        <f>$F69*$P69</f>
        <v/>
      </c>
      <c r="R69">
        <f>$H69&gt;=PARAMETROS!$B$3</f>
        <v/>
      </c>
    </row>
    <row r="70">
      <c r="A70" s="23">
        <f>INPUT_CARTEIRA!A70</f>
        <v/>
      </c>
      <c r="B70" s="14">
        <f>INPUT_CARTEIRA!B70</f>
        <v/>
      </c>
      <c r="C70" s="14">
        <f>INPUT_CARTEIRA!C70</f>
        <v/>
      </c>
      <c r="D70">
        <f>INPUT_CARTEIRA!D70</f>
        <v/>
      </c>
      <c r="E70">
        <f>INPUT_CARTEIRA!E70</f>
        <v/>
      </c>
      <c r="F70" s="12">
        <f>INPUT_CARTEIRA!F70</f>
        <v/>
      </c>
      <c r="G70" s="23">
        <f>INPUT_CARTEIRA!G70</f>
        <v/>
      </c>
      <c r="H70" s="9">
        <f>INPUT_CARTEIRA!H70</f>
        <v/>
      </c>
      <c r="I70">
        <f>INPUT_CARTEIRA!I70</f>
        <v/>
      </c>
      <c r="J70" s="12">
        <f>INPUT_CARTEIRA!J70</f>
        <v/>
      </c>
      <c r="K70" s="10">
        <f>INPUT_CARTEIRA!K70</f>
        <v/>
      </c>
      <c r="L70">
        <f>INPUT_CARTEIRA!L70</f>
        <v/>
      </c>
      <c r="M70">
        <f>IF($H70=0,"0",IF($H70&lt;=30,"1-30",IF($H70&lt;=60,"31-60",IF($H70&lt;=90,"61-90",IF($H70&lt;=180,"91-180","&gt;180")))))</f>
        <v/>
      </c>
      <c r="N70" s="10">
        <f>VLOOKUP($H70,REGUA_PDD!$A$4:$B$9,2,TRUE)</f>
        <v/>
      </c>
      <c r="O70" s="10">
        <f>INDEX(EFEITO_VAGAO!$F$4:$F$27, MATCH($C70, EFEITO_VAGAO!$A$4:$A$27, 0))</f>
        <v/>
      </c>
      <c r="P70" s="10">
        <f>IF(PARAMETROS!$B$5="SIM",MAX($N70,$O70),$N70)</f>
        <v/>
      </c>
      <c r="Q70" s="12">
        <f>$F70*$P70</f>
        <v/>
      </c>
      <c r="R70">
        <f>$H70&gt;=PARAMETROS!$B$3</f>
        <v/>
      </c>
    </row>
    <row r="71">
      <c r="A71" s="23">
        <f>INPUT_CARTEIRA!A71</f>
        <v/>
      </c>
      <c r="B71" s="14">
        <f>INPUT_CARTEIRA!B71</f>
        <v/>
      </c>
      <c r="C71" s="14">
        <f>INPUT_CARTEIRA!C71</f>
        <v/>
      </c>
      <c r="D71">
        <f>INPUT_CARTEIRA!D71</f>
        <v/>
      </c>
      <c r="E71">
        <f>INPUT_CARTEIRA!E71</f>
        <v/>
      </c>
      <c r="F71" s="12">
        <f>INPUT_CARTEIRA!F71</f>
        <v/>
      </c>
      <c r="G71" s="23">
        <f>INPUT_CARTEIRA!G71</f>
        <v/>
      </c>
      <c r="H71" s="9">
        <f>INPUT_CARTEIRA!H71</f>
        <v/>
      </c>
      <c r="I71">
        <f>INPUT_CARTEIRA!I71</f>
        <v/>
      </c>
      <c r="J71" s="12">
        <f>INPUT_CARTEIRA!J71</f>
        <v/>
      </c>
      <c r="K71" s="10">
        <f>INPUT_CARTEIRA!K71</f>
        <v/>
      </c>
      <c r="L71">
        <f>INPUT_CARTEIRA!L71</f>
        <v/>
      </c>
      <c r="M71">
        <f>IF($H71=0,"0",IF($H71&lt;=30,"1-30",IF($H71&lt;=60,"31-60",IF($H71&lt;=90,"61-90",IF($H71&lt;=180,"91-180","&gt;180")))))</f>
        <v/>
      </c>
      <c r="N71" s="10">
        <f>VLOOKUP($H71,REGUA_PDD!$A$4:$B$9,2,TRUE)</f>
        <v/>
      </c>
      <c r="O71" s="10">
        <f>INDEX(EFEITO_VAGAO!$F$4:$F$27, MATCH($C71, EFEITO_VAGAO!$A$4:$A$27, 0))</f>
        <v/>
      </c>
      <c r="P71" s="10">
        <f>IF(PARAMETROS!$B$5="SIM",MAX($N71,$O71),$N71)</f>
        <v/>
      </c>
      <c r="Q71" s="12">
        <f>$F71*$P71</f>
        <v/>
      </c>
      <c r="R71">
        <f>$H71&gt;=PARAMETROS!$B$3</f>
        <v/>
      </c>
    </row>
    <row r="72">
      <c r="A72" s="23">
        <f>INPUT_CARTEIRA!A72</f>
        <v/>
      </c>
      <c r="B72" s="14">
        <f>INPUT_CARTEIRA!B72</f>
        <v/>
      </c>
      <c r="C72" s="14">
        <f>INPUT_CARTEIRA!C72</f>
        <v/>
      </c>
      <c r="D72">
        <f>INPUT_CARTEIRA!D72</f>
        <v/>
      </c>
      <c r="E72">
        <f>INPUT_CARTEIRA!E72</f>
        <v/>
      </c>
      <c r="F72" s="12">
        <f>INPUT_CARTEIRA!F72</f>
        <v/>
      </c>
      <c r="G72" s="23">
        <f>INPUT_CARTEIRA!G72</f>
        <v/>
      </c>
      <c r="H72" s="9">
        <f>INPUT_CARTEIRA!H72</f>
        <v/>
      </c>
      <c r="I72">
        <f>INPUT_CARTEIRA!I72</f>
        <v/>
      </c>
      <c r="J72" s="12">
        <f>INPUT_CARTEIRA!J72</f>
        <v/>
      </c>
      <c r="K72" s="10">
        <f>INPUT_CARTEIRA!K72</f>
        <v/>
      </c>
      <c r="L72">
        <f>INPUT_CARTEIRA!L72</f>
        <v/>
      </c>
      <c r="M72">
        <f>IF($H72=0,"0",IF($H72&lt;=30,"1-30",IF($H72&lt;=60,"31-60",IF($H72&lt;=90,"61-90",IF($H72&lt;=180,"91-180","&gt;180")))))</f>
        <v/>
      </c>
      <c r="N72" s="10">
        <f>VLOOKUP($H72,REGUA_PDD!$A$4:$B$9,2,TRUE)</f>
        <v/>
      </c>
      <c r="O72" s="10">
        <f>INDEX(EFEITO_VAGAO!$F$4:$F$27, MATCH($C72, EFEITO_VAGAO!$A$4:$A$27, 0))</f>
        <v/>
      </c>
      <c r="P72" s="10">
        <f>IF(PARAMETROS!$B$5="SIM",MAX($N72,$O72),$N72)</f>
        <v/>
      </c>
      <c r="Q72" s="12">
        <f>$F72*$P72</f>
        <v/>
      </c>
      <c r="R72">
        <f>$H72&gt;=PARAMETROS!$B$3</f>
        <v/>
      </c>
    </row>
    <row r="73">
      <c r="A73" s="23">
        <f>INPUT_CARTEIRA!A73</f>
        <v/>
      </c>
      <c r="B73" s="14">
        <f>INPUT_CARTEIRA!B73</f>
        <v/>
      </c>
      <c r="C73" s="14">
        <f>INPUT_CARTEIRA!C73</f>
        <v/>
      </c>
      <c r="D73">
        <f>INPUT_CARTEIRA!D73</f>
        <v/>
      </c>
      <c r="E73">
        <f>INPUT_CARTEIRA!E73</f>
        <v/>
      </c>
      <c r="F73" s="12">
        <f>INPUT_CARTEIRA!F73</f>
        <v/>
      </c>
      <c r="G73" s="23">
        <f>INPUT_CARTEIRA!G73</f>
        <v/>
      </c>
      <c r="H73" s="9">
        <f>INPUT_CARTEIRA!H73</f>
        <v/>
      </c>
      <c r="I73">
        <f>INPUT_CARTEIRA!I73</f>
        <v/>
      </c>
      <c r="J73" s="12">
        <f>INPUT_CARTEIRA!J73</f>
        <v/>
      </c>
      <c r="K73" s="10">
        <f>INPUT_CARTEIRA!K73</f>
        <v/>
      </c>
      <c r="L73">
        <f>INPUT_CARTEIRA!L73</f>
        <v/>
      </c>
      <c r="M73">
        <f>IF($H73=0,"0",IF($H73&lt;=30,"1-30",IF($H73&lt;=60,"31-60",IF($H73&lt;=90,"61-90",IF($H73&lt;=180,"91-180","&gt;180")))))</f>
        <v/>
      </c>
      <c r="N73" s="10">
        <f>VLOOKUP($H73,REGUA_PDD!$A$4:$B$9,2,TRUE)</f>
        <v/>
      </c>
      <c r="O73" s="10">
        <f>INDEX(EFEITO_VAGAO!$F$4:$F$27, MATCH($C73, EFEITO_VAGAO!$A$4:$A$27, 0))</f>
        <v/>
      </c>
      <c r="P73" s="10">
        <f>IF(PARAMETROS!$B$5="SIM",MAX($N73,$O73),$N73)</f>
        <v/>
      </c>
      <c r="Q73" s="12">
        <f>$F73*$P73</f>
        <v/>
      </c>
      <c r="R73">
        <f>$H73&gt;=PARAMETROS!$B$3</f>
        <v/>
      </c>
    </row>
    <row r="74">
      <c r="A74" s="23">
        <f>INPUT_CARTEIRA!A74</f>
        <v/>
      </c>
      <c r="B74" s="14">
        <f>INPUT_CARTEIRA!B74</f>
        <v/>
      </c>
      <c r="C74" s="14">
        <f>INPUT_CARTEIRA!C74</f>
        <v/>
      </c>
      <c r="D74">
        <f>INPUT_CARTEIRA!D74</f>
        <v/>
      </c>
      <c r="E74">
        <f>INPUT_CARTEIRA!E74</f>
        <v/>
      </c>
      <c r="F74" s="12">
        <f>INPUT_CARTEIRA!F74</f>
        <v/>
      </c>
      <c r="G74" s="23">
        <f>INPUT_CARTEIRA!G74</f>
        <v/>
      </c>
      <c r="H74" s="9">
        <f>INPUT_CARTEIRA!H74</f>
        <v/>
      </c>
      <c r="I74">
        <f>INPUT_CARTEIRA!I74</f>
        <v/>
      </c>
      <c r="J74" s="12">
        <f>INPUT_CARTEIRA!J74</f>
        <v/>
      </c>
      <c r="K74" s="10">
        <f>INPUT_CARTEIRA!K74</f>
        <v/>
      </c>
      <c r="L74">
        <f>INPUT_CARTEIRA!L74</f>
        <v/>
      </c>
      <c r="M74">
        <f>IF($H74=0,"0",IF($H74&lt;=30,"1-30",IF($H74&lt;=60,"31-60",IF($H74&lt;=90,"61-90",IF($H74&lt;=180,"91-180","&gt;180")))))</f>
        <v/>
      </c>
      <c r="N74" s="10">
        <f>VLOOKUP($H74,REGUA_PDD!$A$4:$B$9,2,TRUE)</f>
        <v/>
      </c>
      <c r="O74" s="10">
        <f>INDEX(EFEITO_VAGAO!$F$4:$F$27, MATCH($C74, EFEITO_VAGAO!$A$4:$A$27, 0))</f>
        <v/>
      </c>
      <c r="P74" s="10">
        <f>IF(PARAMETROS!$B$5="SIM",MAX($N74,$O74),$N74)</f>
        <v/>
      </c>
      <c r="Q74" s="12">
        <f>$F74*$P74</f>
        <v/>
      </c>
      <c r="R74">
        <f>$H74&gt;=PARAMETROS!$B$3</f>
        <v/>
      </c>
    </row>
    <row r="75">
      <c r="A75" s="23">
        <f>INPUT_CARTEIRA!A75</f>
        <v/>
      </c>
      <c r="B75" s="14">
        <f>INPUT_CARTEIRA!B75</f>
        <v/>
      </c>
      <c r="C75" s="14">
        <f>INPUT_CARTEIRA!C75</f>
        <v/>
      </c>
      <c r="D75">
        <f>INPUT_CARTEIRA!D75</f>
        <v/>
      </c>
      <c r="E75">
        <f>INPUT_CARTEIRA!E75</f>
        <v/>
      </c>
      <c r="F75" s="12">
        <f>INPUT_CARTEIRA!F75</f>
        <v/>
      </c>
      <c r="G75" s="23">
        <f>INPUT_CARTEIRA!G75</f>
        <v/>
      </c>
      <c r="H75" s="9">
        <f>INPUT_CARTEIRA!H75</f>
        <v/>
      </c>
      <c r="I75">
        <f>INPUT_CARTEIRA!I75</f>
        <v/>
      </c>
      <c r="J75" s="12">
        <f>INPUT_CARTEIRA!J75</f>
        <v/>
      </c>
      <c r="K75" s="10">
        <f>INPUT_CARTEIRA!K75</f>
        <v/>
      </c>
      <c r="L75">
        <f>INPUT_CARTEIRA!L75</f>
        <v/>
      </c>
      <c r="M75">
        <f>IF($H75=0,"0",IF($H75&lt;=30,"1-30",IF($H75&lt;=60,"31-60",IF($H75&lt;=90,"61-90",IF($H75&lt;=180,"91-180","&gt;180")))))</f>
        <v/>
      </c>
      <c r="N75" s="10">
        <f>VLOOKUP($H75,REGUA_PDD!$A$4:$B$9,2,TRUE)</f>
        <v/>
      </c>
      <c r="O75" s="10">
        <f>INDEX(EFEITO_VAGAO!$F$4:$F$27, MATCH($C75, EFEITO_VAGAO!$A$4:$A$27, 0))</f>
        <v/>
      </c>
      <c r="P75" s="10">
        <f>IF(PARAMETROS!$B$5="SIM",MAX($N75,$O75),$N75)</f>
        <v/>
      </c>
      <c r="Q75" s="12">
        <f>$F75*$P75</f>
        <v/>
      </c>
      <c r="R75">
        <f>$H75&gt;=PARAMETROS!$B$3</f>
        <v/>
      </c>
    </row>
    <row r="76">
      <c r="A76" s="23">
        <f>INPUT_CARTEIRA!A76</f>
        <v/>
      </c>
      <c r="B76" s="14">
        <f>INPUT_CARTEIRA!B76</f>
        <v/>
      </c>
      <c r="C76" s="14">
        <f>INPUT_CARTEIRA!C76</f>
        <v/>
      </c>
      <c r="D76">
        <f>INPUT_CARTEIRA!D76</f>
        <v/>
      </c>
      <c r="E76">
        <f>INPUT_CARTEIRA!E76</f>
        <v/>
      </c>
      <c r="F76" s="12">
        <f>INPUT_CARTEIRA!F76</f>
        <v/>
      </c>
      <c r="G76" s="23">
        <f>INPUT_CARTEIRA!G76</f>
        <v/>
      </c>
      <c r="H76" s="9">
        <f>INPUT_CARTEIRA!H76</f>
        <v/>
      </c>
      <c r="I76">
        <f>INPUT_CARTEIRA!I76</f>
        <v/>
      </c>
      <c r="J76" s="12">
        <f>INPUT_CARTEIRA!J76</f>
        <v/>
      </c>
      <c r="K76" s="10">
        <f>INPUT_CARTEIRA!K76</f>
        <v/>
      </c>
      <c r="L76">
        <f>INPUT_CARTEIRA!L76</f>
        <v/>
      </c>
      <c r="M76">
        <f>IF($H76=0,"0",IF($H76&lt;=30,"1-30",IF($H76&lt;=60,"31-60",IF($H76&lt;=90,"61-90",IF($H76&lt;=180,"91-180","&gt;180")))))</f>
        <v/>
      </c>
      <c r="N76" s="10">
        <f>VLOOKUP($H76,REGUA_PDD!$A$4:$B$9,2,TRUE)</f>
        <v/>
      </c>
      <c r="O76" s="10">
        <f>INDEX(EFEITO_VAGAO!$F$4:$F$27, MATCH($C76, EFEITO_VAGAO!$A$4:$A$27, 0))</f>
        <v/>
      </c>
      <c r="P76" s="10">
        <f>IF(PARAMETROS!$B$5="SIM",MAX($N76,$O76),$N76)</f>
        <v/>
      </c>
      <c r="Q76" s="12">
        <f>$F76*$P76</f>
        <v/>
      </c>
      <c r="R76">
        <f>$H76&gt;=PARAMETROS!$B$3</f>
        <v/>
      </c>
    </row>
    <row r="77">
      <c r="A77" s="23">
        <f>INPUT_CARTEIRA!A77</f>
        <v/>
      </c>
      <c r="B77" s="14">
        <f>INPUT_CARTEIRA!B77</f>
        <v/>
      </c>
      <c r="C77" s="14">
        <f>INPUT_CARTEIRA!C77</f>
        <v/>
      </c>
      <c r="D77">
        <f>INPUT_CARTEIRA!D77</f>
        <v/>
      </c>
      <c r="E77">
        <f>INPUT_CARTEIRA!E77</f>
        <v/>
      </c>
      <c r="F77" s="12">
        <f>INPUT_CARTEIRA!F77</f>
        <v/>
      </c>
      <c r="G77" s="23">
        <f>INPUT_CARTEIRA!G77</f>
        <v/>
      </c>
      <c r="H77" s="9">
        <f>INPUT_CARTEIRA!H77</f>
        <v/>
      </c>
      <c r="I77">
        <f>INPUT_CARTEIRA!I77</f>
        <v/>
      </c>
      <c r="J77" s="12">
        <f>INPUT_CARTEIRA!J77</f>
        <v/>
      </c>
      <c r="K77" s="10">
        <f>INPUT_CARTEIRA!K77</f>
        <v/>
      </c>
      <c r="L77">
        <f>INPUT_CARTEIRA!L77</f>
        <v/>
      </c>
      <c r="M77">
        <f>IF($H77=0,"0",IF($H77&lt;=30,"1-30",IF($H77&lt;=60,"31-60",IF($H77&lt;=90,"61-90",IF($H77&lt;=180,"91-180","&gt;180")))))</f>
        <v/>
      </c>
      <c r="N77" s="10">
        <f>VLOOKUP($H77,REGUA_PDD!$A$4:$B$9,2,TRUE)</f>
        <v/>
      </c>
      <c r="O77" s="10">
        <f>INDEX(EFEITO_VAGAO!$F$4:$F$27, MATCH($C77, EFEITO_VAGAO!$A$4:$A$27, 0))</f>
        <v/>
      </c>
      <c r="P77" s="10">
        <f>IF(PARAMETROS!$B$5="SIM",MAX($N77,$O77),$N77)</f>
        <v/>
      </c>
      <c r="Q77" s="12">
        <f>$F77*$P77</f>
        <v/>
      </c>
      <c r="R77">
        <f>$H77&gt;=PARAMETROS!$B$3</f>
        <v/>
      </c>
    </row>
    <row r="78">
      <c r="A78" s="23">
        <f>INPUT_CARTEIRA!A78</f>
        <v/>
      </c>
      <c r="B78" s="14">
        <f>INPUT_CARTEIRA!B78</f>
        <v/>
      </c>
      <c r="C78" s="14">
        <f>INPUT_CARTEIRA!C78</f>
        <v/>
      </c>
      <c r="D78">
        <f>INPUT_CARTEIRA!D78</f>
        <v/>
      </c>
      <c r="E78">
        <f>INPUT_CARTEIRA!E78</f>
        <v/>
      </c>
      <c r="F78" s="12">
        <f>INPUT_CARTEIRA!F78</f>
        <v/>
      </c>
      <c r="G78" s="23">
        <f>INPUT_CARTEIRA!G78</f>
        <v/>
      </c>
      <c r="H78" s="9">
        <f>INPUT_CARTEIRA!H78</f>
        <v/>
      </c>
      <c r="I78">
        <f>INPUT_CARTEIRA!I78</f>
        <v/>
      </c>
      <c r="J78" s="12">
        <f>INPUT_CARTEIRA!J78</f>
        <v/>
      </c>
      <c r="K78" s="10">
        <f>INPUT_CARTEIRA!K78</f>
        <v/>
      </c>
      <c r="L78">
        <f>INPUT_CARTEIRA!L78</f>
        <v/>
      </c>
      <c r="M78">
        <f>IF($H78=0,"0",IF($H78&lt;=30,"1-30",IF($H78&lt;=60,"31-60",IF($H78&lt;=90,"61-90",IF($H78&lt;=180,"91-180","&gt;180")))))</f>
        <v/>
      </c>
      <c r="N78" s="10">
        <f>VLOOKUP($H78,REGUA_PDD!$A$4:$B$9,2,TRUE)</f>
        <v/>
      </c>
      <c r="O78" s="10">
        <f>INDEX(EFEITO_VAGAO!$F$4:$F$27, MATCH($C78, EFEITO_VAGAO!$A$4:$A$27, 0))</f>
        <v/>
      </c>
      <c r="P78" s="10">
        <f>IF(PARAMETROS!$B$5="SIM",MAX($N78,$O78),$N78)</f>
        <v/>
      </c>
      <c r="Q78" s="12">
        <f>$F78*$P78</f>
        <v/>
      </c>
      <c r="R78">
        <f>$H78&gt;=PARAMETROS!$B$3</f>
        <v/>
      </c>
    </row>
    <row r="79">
      <c r="A79" s="23">
        <f>INPUT_CARTEIRA!A79</f>
        <v/>
      </c>
      <c r="B79" s="14">
        <f>INPUT_CARTEIRA!B79</f>
        <v/>
      </c>
      <c r="C79" s="14">
        <f>INPUT_CARTEIRA!C79</f>
        <v/>
      </c>
      <c r="D79">
        <f>INPUT_CARTEIRA!D79</f>
        <v/>
      </c>
      <c r="E79">
        <f>INPUT_CARTEIRA!E79</f>
        <v/>
      </c>
      <c r="F79" s="12">
        <f>INPUT_CARTEIRA!F79</f>
        <v/>
      </c>
      <c r="G79" s="23">
        <f>INPUT_CARTEIRA!G79</f>
        <v/>
      </c>
      <c r="H79" s="9">
        <f>INPUT_CARTEIRA!H79</f>
        <v/>
      </c>
      <c r="I79">
        <f>INPUT_CARTEIRA!I79</f>
        <v/>
      </c>
      <c r="J79" s="12">
        <f>INPUT_CARTEIRA!J79</f>
        <v/>
      </c>
      <c r="K79" s="10">
        <f>INPUT_CARTEIRA!K79</f>
        <v/>
      </c>
      <c r="L79">
        <f>INPUT_CARTEIRA!L79</f>
        <v/>
      </c>
      <c r="M79">
        <f>IF($H79=0,"0",IF($H79&lt;=30,"1-30",IF($H79&lt;=60,"31-60",IF($H79&lt;=90,"61-90",IF($H79&lt;=180,"91-180","&gt;180")))))</f>
        <v/>
      </c>
      <c r="N79" s="10">
        <f>VLOOKUP($H79,REGUA_PDD!$A$4:$B$9,2,TRUE)</f>
        <v/>
      </c>
      <c r="O79" s="10">
        <f>INDEX(EFEITO_VAGAO!$F$4:$F$27, MATCH($C79, EFEITO_VAGAO!$A$4:$A$27, 0))</f>
        <v/>
      </c>
      <c r="P79" s="10">
        <f>IF(PARAMETROS!$B$5="SIM",MAX($N79,$O79),$N79)</f>
        <v/>
      </c>
      <c r="Q79" s="12">
        <f>$F79*$P79</f>
        <v/>
      </c>
      <c r="R79">
        <f>$H79&gt;=PARAMETROS!$B$3</f>
        <v/>
      </c>
    </row>
    <row r="80">
      <c r="A80" s="23">
        <f>INPUT_CARTEIRA!A80</f>
        <v/>
      </c>
      <c r="B80" s="14">
        <f>INPUT_CARTEIRA!B80</f>
        <v/>
      </c>
      <c r="C80" s="14">
        <f>INPUT_CARTEIRA!C80</f>
        <v/>
      </c>
      <c r="D80">
        <f>INPUT_CARTEIRA!D80</f>
        <v/>
      </c>
      <c r="E80">
        <f>INPUT_CARTEIRA!E80</f>
        <v/>
      </c>
      <c r="F80" s="12">
        <f>INPUT_CARTEIRA!F80</f>
        <v/>
      </c>
      <c r="G80" s="23">
        <f>INPUT_CARTEIRA!G80</f>
        <v/>
      </c>
      <c r="H80" s="9">
        <f>INPUT_CARTEIRA!H80</f>
        <v/>
      </c>
      <c r="I80">
        <f>INPUT_CARTEIRA!I80</f>
        <v/>
      </c>
      <c r="J80" s="12">
        <f>INPUT_CARTEIRA!J80</f>
        <v/>
      </c>
      <c r="K80" s="10">
        <f>INPUT_CARTEIRA!K80</f>
        <v/>
      </c>
      <c r="L80">
        <f>INPUT_CARTEIRA!L80</f>
        <v/>
      </c>
      <c r="M80">
        <f>IF($H80=0,"0",IF($H80&lt;=30,"1-30",IF($H80&lt;=60,"31-60",IF($H80&lt;=90,"61-90",IF($H80&lt;=180,"91-180","&gt;180")))))</f>
        <v/>
      </c>
      <c r="N80" s="10">
        <f>VLOOKUP($H80,REGUA_PDD!$A$4:$B$9,2,TRUE)</f>
        <v/>
      </c>
      <c r="O80" s="10">
        <f>INDEX(EFEITO_VAGAO!$F$4:$F$27, MATCH($C80, EFEITO_VAGAO!$A$4:$A$27, 0))</f>
        <v/>
      </c>
      <c r="P80" s="10">
        <f>IF(PARAMETROS!$B$5="SIM",MAX($N80,$O80),$N80)</f>
        <v/>
      </c>
      <c r="Q80" s="12">
        <f>$F80*$P80</f>
        <v/>
      </c>
      <c r="R80">
        <f>$H80&gt;=PARAMETROS!$B$3</f>
        <v/>
      </c>
    </row>
    <row r="81">
      <c r="A81" s="23">
        <f>INPUT_CARTEIRA!A81</f>
        <v/>
      </c>
      <c r="B81" s="14">
        <f>INPUT_CARTEIRA!B81</f>
        <v/>
      </c>
      <c r="C81" s="14">
        <f>INPUT_CARTEIRA!C81</f>
        <v/>
      </c>
      <c r="D81">
        <f>INPUT_CARTEIRA!D81</f>
        <v/>
      </c>
      <c r="E81">
        <f>INPUT_CARTEIRA!E81</f>
        <v/>
      </c>
      <c r="F81" s="12">
        <f>INPUT_CARTEIRA!F81</f>
        <v/>
      </c>
      <c r="G81" s="23">
        <f>INPUT_CARTEIRA!G81</f>
        <v/>
      </c>
      <c r="H81" s="9">
        <f>INPUT_CARTEIRA!H81</f>
        <v/>
      </c>
      <c r="I81">
        <f>INPUT_CARTEIRA!I81</f>
        <v/>
      </c>
      <c r="J81" s="12">
        <f>INPUT_CARTEIRA!J81</f>
        <v/>
      </c>
      <c r="K81" s="10">
        <f>INPUT_CARTEIRA!K81</f>
        <v/>
      </c>
      <c r="L81">
        <f>INPUT_CARTEIRA!L81</f>
        <v/>
      </c>
      <c r="M81">
        <f>IF($H81=0,"0",IF($H81&lt;=30,"1-30",IF($H81&lt;=60,"31-60",IF($H81&lt;=90,"61-90",IF($H81&lt;=180,"91-180","&gt;180")))))</f>
        <v/>
      </c>
      <c r="N81" s="10">
        <f>VLOOKUP($H81,REGUA_PDD!$A$4:$B$9,2,TRUE)</f>
        <v/>
      </c>
      <c r="O81" s="10">
        <f>INDEX(EFEITO_VAGAO!$F$4:$F$27, MATCH($C81, EFEITO_VAGAO!$A$4:$A$27, 0))</f>
        <v/>
      </c>
      <c r="P81" s="10">
        <f>IF(PARAMETROS!$B$5="SIM",MAX($N81,$O81),$N81)</f>
        <v/>
      </c>
      <c r="Q81" s="12">
        <f>$F81*$P81</f>
        <v/>
      </c>
      <c r="R81">
        <f>$H81&gt;=PARAMETROS!$B$3</f>
        <v/>
      </c>
    </row>
    <row r="82">
      <c r="A82" s="23">
        <f>INPUT_CARTEIRA!A82</f>
        <v/>
      </c>
      <c r="B82" s="14">
        <f>INPUT_CARTEIRA!B82</f>
        <v/>
      </c>
      <c r="C82" s="14">
        <f>INPUT_CARTEIRA!C82</f>
        <v/>
      </c>
      <c r="D82">
        <f>INPUT_CARTEIRA!D82</f>
        <v/>
      </c>
      <c r="E82">
        <f>INPUT_CARTEIRA!E82</f>
        <v/>
      </c>
      <c r="F82" s="12">
        <f>INPUT_CARTEIRA!F82</f>
        <v/>
      </c>
      <c r="G82" s="23">
        <f>INPUT_CARTEIRA!G82</f>
        <v/>
      </c>
      <c r="H82" s="9">
        <f>INPUT_CARTEIRA!H82</f>
        <v/>
      </c>
      <c r="I82">
        <f>INPUT_CARTEIRA!I82</f>
        <v/>
      </c>
      <c r="J82" s="12">
        <f>INPUT_CARTEIRA!J82</f>
        <v/>
      </c>
      <c r="K82" s="10">
        <f>INPUT_CARTEIRA!K82</f>
        <v/>
      </c>
      <c r="L82">
        <f>INPUT_CARTEIRA!L82</f>
        <v/>
      </c>
      <c r="M82">
        <f>IF($H82=0,"0",IF($H82&lt;=30,"1-30",IF($H82&lt;=60,"31-60",IF($H82&lt;=90,"61-90",IF($H82&lt;=180,"91-180","&gt;180")))))</f>
        <v/>
      </c>
      <c r="N82" s="10">
        <f>VLOOKUP($H82,REGUA_PDD!$A$4:$B$9,2,TRUE)</f>
        <v/>
      </c>
      <c r="O82" s="10">
        <f>INDEX(EFEITO_VAGAO!$F$4:$F$27, MATCH($C82, EFEITO_VAGAO!$A$4:$A$27, 0))</f>
        <v/>
      </c>
      <c r="P82" s="10">
        <f>IF(PARAMETROS!$B$5="SIM",MAX($N82,$O82),$N82)</f>
        <v/>
      </c>
      <c r="Q82" s="12">
        <f>$F82*$P82</f>
        <v/>
      </c>
      <c r="R82">
        <f>$H82&gt;=PARAMETROS!$B$3</f>
        <v/>
      </c>
    </row>
    <row r="83">
      <c r="A83" s="23">
        <f>INPUT_CARTEIRA!A83</f>
        <v/>
      </c>
      <c r="B83" s="14">
        <f>INPUT_CARTEIRA!B83</f>
        <v/>
      </c>
      <c r="C83" s="14">
        <f>INPUT_CARTEIRA!C83</f>
        <v/>
      </c>
      <c r="D83">
        <f>INPUT_CARTEIRA!D83</f>
        <v/>
      </c>
      <c r="E83">
        <f>INPUT_CARTEIRA!E83</f>
        <v/>
      </c>
      <c r="F83" s="12">
        <f>INPUT_CARTEIRA!F83</f>
        <v/>
      </c>
      <c r="G83" s="23">
        <f>INPUT_CARTEIRA!G83</f>
        <v/>
      </c>
      <c r="H83" s="9">
        <f>INPUT_CARTEIRA!H83</f>
        <v/>
      </c>
      <c r="I83">
        <f>INPUT_CARTEIRA!I83</f>
        <v/>
      </c>
      <c r="J83" s="12">
        <f>INPUT_CARTEIRA!J83</f>
        <v/>
      </c>
      <c r="K83" s="10">
        <f>INPUT_CARTEIRA!K83</f>
        <v/>
      </c>
      <c r="L83">
        <f>INPUT_CARTEIRA!L83</f>
        <v/>
      </c>
      <c r="M83">
        <f>IF($H83=0,"0",IF($H83&lt;=30,"1-30",IF($H83&lt;=60,"31-60",IF($H83&lt;=90,"61-90",IF($H83&lt;=180,"91-180","&gt;180")))))</f>
        <v/>
      </c>
      <c r="N83" s="10">
        <f>VLOOKUP($H83,REGUA_PDD!$A$4:$B$9,2,TRUE)</f>
        <v/>
      </c>
      <c r="O83" s="10">
        <f>INDEX(EFEITO_VAGAO!$F$4:$F$27, MATCH($C83, EFEITO_VAGAO!$A$4:$A$27, 0))</f>
        <v/>
      </c>
      <c r="P83" s="10">
        <f>IF(PARAMETROS!$B$5="SIM",MAX($N83,$O83),$N83)</f>
        <v/>
      </c>
      <c r="Q83" s="12">
        <f>$F83*$P83</f>
        <v/>
      </c>
      <c r="R83">
        <f>$H83&gt;=PARAMETROS!$B$3</f>
        <v/>
      </c>
    </row>
    <row r="84">
      <c r="A84" s="23">
        <f>INPUT_CARTEIRA!A84</f>
        <v/>
      </c>
      <c r="B84" s="14">
        <f>INPUT_CARTEIRA!B84</f>
        <v/>
      </c>
      <c r="C84" s="14">
        <f>INPUT_CARTEIRA!C84</f>
        <v/>
      </c>
      <c r="D84">
        <f>INPUT_CARTEIRA!D84</f>
        <v/>
      </c>
      <c r="E84">
        <f>INPUT_CARTEIRA!E84</f>
        <v/>
      </c>
      <c r="F84" s="12">
        <f>INPUT_CARTEIRA!F84</f>
        <v/>
      </c>
      <c r="G84" s="23">
        <f>INPUT_CARTEIRA!G84</f>
        <v/>
      </c>
      <c r="H84" s="9">
        <f>INPUT_CARTEIRA!H84</f>
        <v/>
      </c>
      <c r="I84">
        <f>INPUT_CARTEIRA!I84</f>
        <v/>
      </c>
      <c r="J84" s="12">
        <f>INPUT_CARTEIRA!J84</f>
        <v/>
      </c>
      <c r="K84" s="10">
        <f>INPUT_CARTEIRA!K84</f>
        <v/>
      </c>
      <c r="L84">
        <f>INPUT_CARTEIRA!L84</f>
        <v/>
      </c>
      <c r="M84">
        <f>IF($H84=0,"0",IF($H84&lt;=30,"1-30",IF($H84&lt;=60,"31-60",IF($H84&lt;=90,"61-90",IF($H84&lt;=180,"91-180","&gt;180")))))</f>
        <v/>
      </c>
      <c r="N84" s="10">
        <f>VLOOKUP($H84,REGUA_PDD!$A$4:$B$9,2,TRUE)</f>
        <v/>
      </c>
      <c r="O84" s="10">
        <f>INDEX(EFEITO_VAGAO!$F$4:$F$27, MATCH($C84, EFEITO_VAGAO!$A$4:$A$27, 0))</f>
        <v/>
      </c>
      <c r="P84" s="10">
        <f>IF(PARAMETROS!$B$5="SIM",MAX($N84,$O84),$N84)</f>
        <v/>
      </c>
      <c r="Q84" s="12">
        <f>$F84*$P84</f>
        <v/>
      </c>
      <c r="R84">
        <f>$H84&gt;=PARAMETROS!$B$3</f>
        <v/>
      </c>
    </row>
    <row r="85">
      <c r="A85" s="23">
        <f>INPUT_CARTEIRA!A85</f>
        <v/>
      </c>
      <c r="B85" s="14">
        <f>INPUT_CARTEIRA!B85</f>
        <v/>
      </c>
      <c r="C85" s="14">
        <f>INPUT_CARTEIRA!C85</f>
        <v/>
      </c>
      <c r="D85">
        <f>INPUT_CARTEIRA!D85</f>
        <v/>
      </c>
      <c r="E85">
        <f>INPUT_CARTEIRA!E85</f>
        <v/>
      </c>
      <c r="F85" s="12">
        <f>INPUT_CARTEIRA!F85</f>
        <v/>
      </c>
      <c r="G85" s="23">
        <f>INPUT_CARTEIRA!G85</f>
        <v/>
      </c>
      <c r="H85" s="9">
        <f>INPUT_CARTEIRA!H85</f>
        <v/>
      </c>
      <c r="I85">
        <f>INPUT_CARTEIRA!I85</f>
        <v/>
      </c>
      <c r="J85" s="12">
        <f>INPUT_CARTEIRA!J85</f>
        <v/>
      </c>
      <c r="K85" s="10">
        <f>INPUT_CARTEIRA!K85</f>
        <v/>
      </c>
      <c r="L85">
        <f>INPUT_CARTEIRA!L85</f>
        <v/>
      </c>
      <c r="M85">
        <f>IF($H85=0,"0",IF($H85&lt;=30,"1-30",IF($H85&lt;=60,"31-60",IF($H85&lt;=90,"61-90",IF($H85&lt;=180,"91-180","&gt;180")))))</f>
        <v/>
      </c>
      <c r="N85" s="10">
        <f>VLOOKUP($H85,REGUA_PDD!$A$4:$B$9,2,TRUE)</f>
        <v/>
      </c>
      <c r="O85" s="10">
        <f>INDEX(EFEITO_VAGAO!$F$4:$F$27, MATCH($C85, EFEITO_VAGAO!$A$4:$A$27, 0))</f>
        <v/>
      </c>
      <c r="P85" s="10">
        <f>IF(PARAMETROS!$B$5="SIM",MAX($N85,$O85),$N85)</f>
        <v/>
      </c>
      <c r="Q85" s="12">
        <f>$F85*$P85</f>
        <v/>
      </c>
      <c r="R85">
        <f>$H85&gt;=PARAMETROS!$B$3</f>
        <v/>
      </c>
    </row>
    <row r="86">
      <c r="A86" s="23">
        <f>INPUT_CARTEIRA!A86</f>
        <v/>
      </c>
      <c r="B86" s="14">
        <f>INPUT_CARTEIRA!B86</f>
        <v/>
      </c>
      <c r="C86" s="14">
        <f>INPUT_CARTEIRA!C86</f>
        <v/>
      </c>
      <c r="D86">
        <f>INPUT_CARTEIRA!D86</f>
        <v/>
      </c>
      <c r="E86">
        <f>INPUT_CARTEIRA!E86</f>
        <v/>
      </c>
      <c r="F86" s="12">
        <f>INPUT_CARTEIRA!F86</f>
        <v/>
      </c>
      <c r="G86" s="23">
        <f>INPUT_CARTEIRA!G86</f>
        <v/>
      </c>
      <c r="H86" s="9">
        <f>INPUT_CARTEIRA!H86</f>
        <v/>
      </c>
      <c r="I86">
        <f>INPUT_CARTEIRA!I86</f>
        <v/>
      </c>
      <c r="J86" s="12">
        <f>INPUT_CARTEIRA!J86</f>
        <v/>
      </c>
      <c r="K86" s="10">
        <f>INPUT_CARTEIRA!K86</f>
        <v/>
      </c>
      <c r="L86">
        <f>INPUT_CARTEIRA!L86</f>
        <v/>
      </c>
      <c r="M86">
        <f>IF($H86=0,"0",IF($H86&lt;=30,"1-30",IF($H86&lt;=60,"31-60",IF($H86&lt;=90,"61-90",IF($H86&lt;=180,"91-180","&gt;180")))))</f>
        <v/>
      </c>
      <c r="N86" s="10">
        <f>VLOOKUP($H86,REGUA_PDD!$A$4:$B$9,2,TRUE)</f>
        <v/>
      </c>
      <c r="O86" s="10">
        <f>INDEX(EFEITO_VAGAO!$F$4:$F$27, MATCH($C86, EFEITO_VAGAO!$A$4:$A$27, 0))</f>
        <v/>
      </c>
      <c r="P86" s="10">
        <f>IF(PARAMETROS!$B$5="SIM",MAX($N86,$O86),$N86)</f>
        <v/>
      </c>
      <c r="Q86" s="12">
        <f>$F86*$P86</f>
        <v/>
      </c>
      <c r="R86">
        <f>$H86&gt;=PARAMETROS!$B$3</f>
        <v/>
      </c>
    </row>
    <row r="87">
      <c r="A87" s="23">
        <f>INPUT_CARTEIRA!A87</f>
        <v/>
      </c>
      <c r="B87" s="14">
        <f>INPUT_CARTEIRA!B87</f>
        <v/>
      </c>
      <c r="C87" s="14">
        <f>INPUT_CARTEIRA!C87</f>
        <v/>
      </c>
      <c r="D87">
        <f>INPUT_CARTEIRA!D87</f>
        <v/>
      </c>
      <c r="E87">
        <f>INPUT_CARTEIRA!E87</f>
        <v/>
      </c>
      <c r="F87" s="12">
        <f>INPUT_CARTEIRA!F87</f>
        <v/>
      </c>
      <c r="G87" s="23">
        <f>INPUT_CARTEIRA!G87</f>
        <v/>
      </c>
      <c r="H87" s="9">
        <f>INPUT_CARTEIRA!H87</f>
        <v/>
      </c>
      <c r="I87">
        <f>INPUT_CARTEIRA!I87</f>
        <v/>
      </c>
      <c r="J87" s="12">
        <f>INPUT_CARTEIRA!J87</f>
        <v/>
      </c>
      <c r="K87" s="10">
        <f>INPUT_CARTEIRA!K87</f>
        <v/>
      </c>
      <c r="L87">
        <f>INPUT_CARTEIRA!L87</f>
        <v/>
      </c>
      <c r="M87">
        <f>IF($H87=0,"0",IF($H87&lt;=30,"1-30",IF($H87&lt;=60,"31-60",IF($H87&lt;=90,"61-90",IF($H87&lt;=180,"91-180","&gt;180")))))</f>
        <v/>
      </c>
      <c r="N87" s="10">
        <f>VLOOKUP($H87,REGUA_PDD!$A$4:$B$9,2,TRUE)</f>
        <v/>
      </c>
      <c r="O87" s="10">
        <f>INDEX(EFEITO_VAGAO!$F$4:$F$27, MATCH($C87, EFEITO_VAGAO!$A$4:$A$27, 0))</f>
        <v/>
      </c>
      <c r="P87" s="10">
        <f>IF(PARAMETROS!$B$5="SIM",MAX($N87,$O87),$N87)</f>
        <v/>
      </c>
      <c r="Q87" s="12">
        <f>$F87*$P87</f>
        <v/>
      </c>
      <c r="R87">
        <f>$H87&gt;=PARAMETROS!$B$3</f>
        <v/>
      </c>
    </row>
    <row r="88">
      <c r="A88" s="23">
        <f>INPUT_CARTEIRA!A88</f>
        <v/>
      </c>
      <c r="B88" s="14">
        <f>INPUT_CARTEIRA!B88</f>
        <v/>
      </c>
      <c r="C88" s="14">
        <f>INPUT_CARTEIRA!C88</f>
        <v/>
      </c>
      <c r="D88">
        <f>INPUT_CARTEIRA!D88</f>
        <v/>
      </c>
      <c r="E88">
        <f>INPUT_CARTEIRA!E88</f>
        <v/>
      </c>
      <c r="F88" s="12">
        <f>INPUT_CARTEIRA!F88</f>
        <v/>
      </c>
      <c r="G88" s="23">
        <f>INPUT_CARTEIRA!G88</f>
        <v/>
      </c>
      <c r="H88" s="9">
        <f>INPUT_CARTEIRA!H88</f>
        <v/>
      </c>
      <c r="I88">
        <f>INPUT_CARTEIRA!I88</f>
        <v/>
      </c>
      <c r="J88" s="12">
        <f>INPUT_CARTEIRA!J88</f>
        <v/>
      </c>
      <c r="K88" s="10">
        <f>INPUT_CARTEIRA!K88</f>
        <v/>
      </c>
      <c r="L88">
        <f>INPUT_CARTEIRA!L88</f>
        <v/>
      </c>
      <c r="M88">
        <f>IF($H88=0,"0",IF($H88&lt;=30,"1-30",IF($H88&lt;=60,"31-60",IF($H88&lt;=90,"61-90",IF($H88&lt;=180,"91-180","&gt;180")))))</f>
        <v/>
      </c>
      <c r="N88" s="10">
        <f>VLOOKUP($H88,REGUA_PDD!$A$4:$B$9,2,TRUE)</f>
        <v/>
      </c>
      <c r="O88" s="10">
        <f>INDEX(EFEITO_VAGAO!$F$4:$F$27, MATCH($C88, EFEITO_VAGAO!$A$4:$A$27, 0))</f>
        <v/>
      </c>
      <c r="P88" s="10">
        <f>IF(PARAMETROS!$B$5="SIM",MAX($N88,$O88),$N88)</f>
        <v/>
      </c>
      <c r="Q88" s="12">
        <f>$F88*$P88</f>
        <v/>
      </c>
      <c r="R88">
        <f>$H88&gt;=PARAMETROS!$B$3</f>
        <v/>
      </c>
    </row>
    <row r="89">
      <c r="A89" s="23">
        <f>INPUT_CARTEIRA!A89</f>
        <v/>
      </c>
      <c r="B89" s="14">
        <f>INPUT_CARTEIRA!B89</f>
        <v/>
      </c>
      <c r="C89" s="14">
        <f>INPUT_CARTEIRA!C89</f>
        <v/>
      </c>
      <c r="D89">
        <f>INPUT_CARTEIRA!D89</f>
        <v/>
      </c>
      <c r="E89">
        <f>INPUT_CARTEIRA!E89</f>
        <v/>
      </c>
      <c r="F89" s="12">
        <f>INPUT_CARTEIRA!F89</f>
        <v/>
      </c>
      <c r="G89" s="23">
        <f>INPUT_CARTEIRA!G89</f>
        <v/>
      </c>
      <c r="H89" s="9">
        <f>INPUT_CARTEIRA!H89</f>
        <v/>
      </c>
      <c r="I89">
        <f>INPUT_CARTEIRA!I89</f>
        <v/>
      </c>
      <c r="J89" s="12">
        <f>INPUT_CARTEIRA!J89</f>
        <v/>
      </c>
      <c r="K89" s="10">
        <f>INPUT_CARTEIRA!K89</f>
        <v/>
      </c>
      <c r="L89">
        <f>INPUT_CARTEIRA!L89</f>
        <v/>
      </c>
      <c r="M89">
        <f>IF($H89=0,"0",IF($H89&lt;=30,"1-30",IF($H89&lt;=60,"31-60",IF($H89&lt;=90,"61-90",IF($H89&lt;=180,"91-180","&gt;180")))))</f>
        <v/>
      </c>
      <c r="N89" s="10">
        <f>VLOOKUP($H89,REGUA_PDD!$A$4:$B$9,2,TRUE)</f>
        <v/>
      </c>
      <c r="O89" s="10">
        <f>INDEX(EFEITO_VAGAO!$F$4:$F$27, MATCH($C89, EFEITO_VAGAO!$A$4:$A$27, 0))</f>
        <v/>
      </c>
      <c r="P89" s="10">
        <f>IF(PARAMETROS!$B$5="SIM",MAX($N89,$O89),$N89)</f>
        <v/>
      </c>
      <c r="Q89" s="12">
        <f>$F89*$P89</f>
        <v/>
      </c>
      <c r="R89">
        <f>$H89&gt;=PARAMETROS!$B$3</f>
        <v/>
      </c>
    </row>
    <row r="90">
      <c r="A90" s="23">
        <f>INPUT_CARTEIRA!A90</f>
        <v/>
      </c>
      <c r="B90" s="14">
        <f>INPUT_CARTEIRA!B90</f>
        <v/>
      </c>
      <c r="C90" s="14">
        <f>INPUT_CARTEIRA!C90</f>
        <v/>
      </c>
      <c r="D90">
        <f>INPUT_CARTEIRA!D90</f>
        <v/>
      </c>
      <c r="E90">
        <f>INPUT_CARTEIRA!E90</f>
        <v/>
      </c>
      <c r="F90" s="12">
        <f>INPUT_CARTEIRA!F90</f>
        <v/>
      </c>
      <c r="G90" s="23">
        <f>INPUT_CARTEIRA!G90</f>
        <v/>
      </c>
      <c r="H90" s="9">
        <f>INPUT_CARTEIRA!H90</f>
        <v/>
      </c>
      <c r="I90">
        <f>INPUT_CARTEIRA!I90</f>
        <v/>
      </c>
      <c r="J90" s="12">
        <f>INPUT_CARTEIRA!J90</f>
        <v/>
      </c>
      <c r="K90" s="10">
        <f>INPUT_CARTEIRA!K90</f>
        <v/>
      </c>
      <c r="L90">
        <f>INPUT_CARTEIRA!L90</f>
        <v/>
      </c>
      <c r="M90">
        <f>IF($H90=0,"0",IF($H90&lt;=30,"1-30",IF($H90&lt;=60,"31-60",IF($H90&lt;=90,"61-90",IF($H90&lt;=180,"91-180","&gt;180")))))</f>
        <v/>
      </c>
      <c r="N90" s="10">
        <f>VLOOKUP($H90,REGUA_PDD!$A$4:$B$9,2,TRUE)</f>
        <v/>
      </c>
      <c r="O90" s="10">
        <f>INDEX(EFEITO_VAGAO!$F$4:$F$27, MATCH($C90, EFEITO_VAGAO!$A$4:$A$27, 0))</f>
        <v/>
      </c>
      <c r="P90" s="10">
        <f>IF(PARAMETROS!$B$5="SIM",MAX($N90,$O90),$N90)</f>
        <v/>
      </c>
      <c r="Q90" s="12">
        <f>$F90*$P90</f>
        <v/>
      </c>
      <c r="R90">
        <f>$H90&gt;=PARAMETROS!$B$3</f>
        <v/>
      </c>
    </row>
    <row r="91">
      <c r="A91" s="23">
        <f>INPUT_CARTEIRA!A91</f>
        <v/>
      </c>
      <c r="B91" s="14">
        <f>INPUT_CARTEIRA!B91</f>
        <v/>
      </c>
      <c r="C91" s="14">
        <f>INPUT_CARTEIRA!C91</f>
        <v/>
      </c>
      <c r="D91">
        <f>INPUT_CARTEIRA!D91</f>
        <v/>
      </c>
      <c r="E91">
        <f>INPUT_CARTEIRA!E91</f>
        <v/>
      </c>
      <c r="F91" s="12">
        <f>INPUT_CARTEIRA!F91</f>
        <v/>
      </c>
      <c r="G91" s="23">
        <f>INPUT_CARTEIRA!G91</f>
        <v/>
      </c>
      <c r="H91" s="9">
        <f>INPUT_CARTEIRA!H91</f>
        <v/>
      </c>
      <c r="I91">
        <f>INPUT_CARTEIRA!I91</f>
        <v/>
      </c>
      <c r="J91" s="12">
        <f>INPUT_CARTEIRA!J91</f>
        <v/>
      </c>
      <c r="K91" s="10">
        <f>INPUT_CARTEIRA!K91</f>
        <v/>
      </c>
      <c r="L91">
        <f>INPUT_CARTEIRA!L91</f>
        <v/>
      </c>
      <c r="M91">
        <f>IF($H91=0,"0",IF($H91&lt;=30,"1-30",IF($H91&lt;=60,"31-60",IF($H91&lt;=90,"61-90",IF($H91&lt;=180,"91-180","&gt;180")))))</f>
        <v/>
      </c>
      <c r="N91" s="10">
        <f>VLOOKUP($H91,REGUA_PDD!$A$4:$B$9,2,TRUE)</f>
        <v/>
      </c>
      <c r="O91" s="10">
        <f>INDEX(EFEITO_VAGAO!$F$4:$F$27, MATCH($C91, EFEITO_VAGAO!$A$4:$A$27, 0))</f>
        <v/>
      </c>
      <c r="P91" s="10">
        <f>IF(PARAMETROS!$B$5="SIM",MAX($N91,$O91),$N91)</f>
        <v/>
      </c>
      <c r="Q91" s="12">
        <f>$F91*$P91</f>
        <v/>
      </c>
      <c r="R91">
        <f>$H91&gt;=PARAMETROS!$B$3</f>
        <v/>
      </c>
    </row>
    <row r="92">
      <c r="A92" s="23">
        <f>INPUT_CARTEIRA!A92</f>
        <v/>
      </c>
      <c r="B92" s="14">
        <f>INPUT_CARTEIRA!B92</f>
        <v/>
      </c>
      <c r="C92" s="14">
        <f>INPUT_CARTEIRA!C92</f>
        <v/>
      </c>
      <c r="D92">
        <f>INPUT_CARTEIRA!D92</f>
        <v/>
      </c>
      <c r="E92">
        <f>INPUT_CARTEIRA!E92</f>
        <v/>
      </c>
      <c r="F92" s="12">
        <f>INPUT_CARTEIRA!F92</f>
        <v/>
      </c>
      <c r="G92" s="23">
        <f>INPUT_CARTEIRA!G92</f>
        <v/>
      </c>
      <c r="H92" s="9">
        <f>INPUT_CARTEIRA!H92</f>
        <v/>
      </c>
      <c r="I92">
        <f>INPUT_CARTEIRA!I92</f>
        <v/>
      </c>
      <c r="J92" s="12">
        <f>INPUT_CARTEIRA!J92</f>
        <v/>
      </c>
      <c r="K92" s="10">
        <f>INPUT_CARTEIRA!K92</f>
        <v/>
      </c>
      <c r="L92">
        <f>INPUT_CARTEIRA!L92</f>
        <v/>
      </c>
      <c r="M92">
        <f>IF($H92=0,"0",IF($H92&lt;=30,"1-30",IF($H92&lt;=60,"31-60",IF($H92&lt;=90,"61-90",IF($H92&lt;=180,"91-180","&gt;180")))))</f>
        <v/>
      </c>
      <c r="N92" s="10">
        <f>VLOOKUP($H92,REGUA_PDD!$A$4:$B$9,2,TRUE)</f>
        <v/>
      </c>
      <c r="O92" s="10">
        <f>INDEX(EFEITO_VAGAO!$F$4:$F$27, MATCH($C92, EFEITO_VAGAO!$A$4:$A$27, 0))</f>
        <v/>
      </c>
      <c r="P92" s="10">
        <f>IF(PARAMETROS!$B$5="SIM",MAX($N92,$O92),$N92)</f>
        <v/>
      </c>
      <c r="Q92" s="12">
        <f>$F92*$P92</f>
        <v/>
      </c>
      <c r="R92">
        <f>$H92&gt;=PARAMETROS!$B$3</f>
        <v/>
      </c>
    </row>
    <row r="93">
      <c r="A93" s="23">
        <f>INPUT_CARTEIRA!A93</f>
        <v/>
      </c>
      <c r="B93" s="14">
        <f>INPUT_CARTEIRA!B93</f>
        <v/>
      </c>
      <c r="C93" s="14">
        <f>INPUT_CARTEIRA!C93</f>
        <v/>
      </c>
      <c r="D93">
        <f>INPUT_CARTEIRA!D93</f>
        <v/>
      </c>
      <c r="E93">
        <f>INPUT_CARTEIRA!E93</f>
        <v/>
      </c>
      <c r="F93" s="12">
        <f>INPUT_CARTEIRA!F93</f>
        <v/>
      </c>
      <c r="G93" s="23">
        <f>INPUT_CARTEIRA!G93</f>
        <v/>
      </c>
      <c r="H93" s="9">
        <f>INPUT_CARTEIRA!H93</f>
        <v/>
      </c>
      <c r="I93">
        <f>INPUT_CARTEIRA!I93</f>
        <v/>
      </c>
      <c r="J93" s="12">
        <f>INPUT_CARTEIRA!J93</f>
        <v/>
      </c>
      <c r="K93" s="10">
        <f>INPUT_CARTEIRA!K93</f>
        <v/>
      </c>
      <c r="L93">
        <f>INPUT_CARTEIRA!L93</f>
        <v/>
      </c>
      <c r="M93">
        <f>IF($H93=0,"0",IF($H93&lt;=30,"1-30",IF($H93&lt;=60,"31-60",IF($H93&lt;=90,"61-90",IF($H93&lt;=180,"91-180","&gt;180")))))</f>
        <v/>
      </c>
      <c r="N93" s="10">
        <f>VLOOKUP($H93,REGUA_PDD!$A$4:$B$9,2,TRUE)</f>
        <v/>
      </c>
      <c r="O93" s="10">
        <f>INDEX(EFEITO_VAGAO!$F$4:$F$27, MATCH($C93, EFEITO_VAGAO!$A$4:$A$27, 0))</f>
        <v/>
      </c>
      <c r="P93" s="10">
        <f>IF(PARAMETROS!$B$5="SIM",MAX($N93,$O93),$N93)</f>
        <v/>
      </c>
      <c r="Q93" s="12">
        <f>$F93*$P93</f>
        <v/>
      </c>
      <c r="R93">
        <f>$H93&gt;=PARAMETROS!$B$3</f>
        <v/>
      </c>
    </row>
    <row r="94">
      <c r="A94" s="23">
        <f>INPUT_CARTEIRA!A94</f>
        <v/>
      </c>
      <c r="B94" s="14">
        <f>INPUT_CARTEIRA!B94</f>
        <v/>
      </c>
      <c r="C94" s="14">
        <f>INPUT_CARTEIRA!C94</f>
        <v/>
      </c>
      <c r="D94">
        <f>INPUT_CARTEIRA!D94</f>
        <v/>
      </c>
      <c r="E94">
        <f>INPUT_CARTEIRA!E94</f>
        <v/>
      </c>
      <c r="F94" s="12">
        <f>INPUT_CARTEIRA!F94</f>
        <v/>
      </c>
      <c r="G94" s="23">
        <f>INPUT_CARTEIRA!G94</f>
        <v/>
      </c>
      <c r="H94" s="9">
        <f>INPUT_CARTEIRA!H94</f>
        <v/>
      </c>
      <c r="I94">
        <f>INPUT_CARTEIRA!I94</f>
        <v/>
      </c>
      <c r="J94" s="12">
        <f>INPUT_CARTEIRA!J94</f>
        <v/>
      </c>
      <c r="K94" s="10">
        <f>INPUT_CARTEIRA!K94</f>
        <v/>
      </c>
      <c r="L94">
        <f>INPUT_CARTEIRA!L94</f>
        <v/>
      </c>
      <c r="M94">
        <f>IF($H94=0,"0",IF($H94&lt;=30,"1-30",IF($H94&lt;=60,"31-60",IF($H94&lt;=90,"61-90",IF($H94&lt;=180,"91-180","&gt;180")))))</f>
        <v/>
      </c>
      <c r="N94" s="10">
        <f>VLOOKUP($H94,REGUA_PDD!$A$4:$B$9,2,TRUE)</f>
        <v/>
      </c>
      <c r="O94" s="10">
        <f>INDEX(EFEITO_VAGAO!$F$4:$F$27, MATCH($C94, EFEITO_VAGAO!$A$4:$A$27, 0))</f>
        <v/>
      </c>
      <c r="P94" s="10">
        <f>IF(PARAMETROS!$B$5="SIM",MAX($N94,$O94),$N94)</f>
        <v/>
      </c>
      <c r="Q94" s="12">
        <f>$F94*$P94</f>
        <v/>
      </c>
      <c r="R94">
        <f>$H94&gt;=PARAMETROS!$B$3</f>
        <v/>
      </c>
    </row>
    <row r="95">
      <c r="A95" s="23">
        <f>INPUT_CARTEIRA!A95</f>
        <v/>
      </c>
      <c r="B95" s="14">
        <f>INPUT_CARTEIRA!B95</f>
        <v/>
      </c>
      <c r="C95" s="14">
        <f>INPUT_CARTEIRA!C95</f>
        <v/>
      </c>
      <c r="D95">
        <f>INPUT_CARTEIRA!D95</f>
        <v/>
      </c>
      <c r="E95">
        <f>INPUT_CARTEIRA!E95</f>
        <v/>
      </c>
      <c r="F95" s="12">
        <f>INPUT_CARTEIRA!F95</f>
        <v/>
      </c>
      <c r="G95" s="23">
        <f>INPUT_CARTEIRA!G95</f>
        <v/>
      </c>
      <c r="H95" s="9">
        <f>INPUT_CARTEIRA!H95</f>
        <v/>
      </c>
      <c r="I95">
        <f>INPUT_CARTEIRA!I95</f>
        <v/>
      </c>
      <c r="J95" s="12">
        <f>INPUT_CARTEIRA!J95</f>
        <v/>
      </c>
      <c r="K95" s="10">
        <f>INPUT_CARTEIRA!K95</f>
        <v/>
      </c>
      <c r="L95">
        <f>INPUT_CARTEIRA!L95</f>
        <v/>
      </c>
      <c r="M95">
        <f>IF($H95=0,"0",IF($H95&lt;=30,"1-30",IF($H95&lt;=60,"31-60",IF($H95&lt;=90,"61-90",IF($H95&lt;=180,"91-180","&gt;180")))))</f>
        <v/>
      </c>
      <c r="N95" s="10">
        <f>VLOOKUP($H95,REGUA_PDD!$A$4:$B$9,2,TRUE)</f>
        <v/>
      </c>
      <c r="O95" s="10">
        <f>INDEX(EFEITO_VAGAO!$F$4:$F$27, MATCH($C95, EFEITO_VAGAO!$A$4:$A$27, 0))</f>
        <v/>
      </c>
      <c r="P95" s="10">
        <f>IF(PARAMETROS!$B$5="SIM",MAX($N95,$O95),$N95)</f>
        <v/>
      </c>
      <c r="Q95" s="12">
        <f>$F95*$P95</f>
        <v/>
      </c>
      <c r="R95">
        <f>$H95&gt;=PARAMETROS!$B$3</f>
        <v/>
      </c>
    </row>
    <row r="96">
      <c r="A96" s="23">
        <f>INPUT_CARTEIRA!A96</f>
        <v/>
      </c>
      <c r="B96" s="14">
        <f>INPUT_CARTEIRA!B96</f>
        <v/>
      </c>
      <c r="C96" s="14">
        <f>INPUT_CARTEIRA!C96</f>
        <v/>
      </c>
      <c r="D96">
        <f>INPUT_CARTEIRA!D96</f>
        <v/>
      </c>
      <c r="E96">
        <f>INPUT_CARTEIRA!E96</f>
        <v/>
      </c>
      <c r="F96" s="12">
        <f>INPUT_CARTEIRA!F96</f>
        <v/>
      </c>
      <c r="G96" s="23">
        <f>INPUT_CARTEIRA!G96</f>
        <v/>
      </c>
      <c r="H96" s="9">
        <f>INPUT_CARTEIRA!H96</f>
        <v/>
      </c>
      <c r="I96">
        <f>INPUT_CARTEIRA!I96</f>
        <v/>
      </c>
      <c r="J96" s="12">
        <f>INPUT_CARTEIRA!J96</f>
        <v/>
      </c>
      <c r="K96" s="10">
        <f>INPUT_CARTEIRA!K96</f>
        <v/>
      </c>
      <c r="L96">
        <f>INPUT_CARTEIRA!L96</f>
        <v/>
      </c>
      <c r="M96">
        <f>IF($H96=0,"0",IF($H96&lt;=30,"1-30",IF($H96&lt;=60,"31-60",IF($H96&lt;=90,"61-90",IF($H96&lt;=180,"91-180","&gt;180")))))</f>
        <v/>
      </c>
      <c r="N96" s="10">
        <f>VLOOKUP($H96,REGUA_PDD!$A$4:$B$9,2,TRUE)</f>
        <v/>
      </c>
      <c r="O96" s="10">
        <f>INDEX(EFEITO_VAGAO!$F$4:$F$27, MATCH($C96, EFEITO_VAGAO!$A$4:$A$27, 0))</f>
        <v/>
      </c>
      <c r="P96" s="10">
        <f>IF(PARAMETROS!$B$5="SIM",MAX($N96,$O96),$N96)</f>
        <v/>
      </c>
      <c r="Q96" s="12">
        <f>$F96*$P96</f>
        <v/>
      </c>
      <c r="R96">
        <f>$H96&gt;=PARAMETROS!$B$3</f>
        <v/>
      </c>
    </row>
    <row r="97">
      <c r="A97" s="23">
        <f>INPUT_CARTEIRA!A97</f>
        <v/>
      </c>
      <c r="B97" s="14">
        <f>INPUT_CARTEIRA!B97</f>
        <v/>
      </c>
      <c r="C97" s="14">
        <f>INPUT_CARTEIRA!C97</f>
        <v/>
      </c>
      <c r="D97">
        <f>INPUT_CARTEIRA!D97</f>
        <v/>
      </c>
      <c r="E97">
        <f>INPUT_CARTEIRA!E97</f>
        <v/>
      </c>
      <c r="F97" s="12">
        <f>INPUT_CARTEIRA!F97</f>
        <v/>
      </c>
      <c r="G97" s="23">
        <f>INPUT_CARTEIRA!G97</f>
        <v/>
      </c>
      <c r="H97" s="9">
        <f>INPUT_CARTEIRA!H97</f>
        <v/>
      </c>
      <c r="I97">
        <f>INPUT_CARTEIRA!I97</f>
        <v/>
      </c>
      <c r="J97" s="12">
        <f>INPUT_CARTEIRA!J97</f>
        <v/>
      </c>
      <c r="K97" s="10">
        <f>INPUT_CARTEIRA!K97</f>
        <v/>
      </c>
      <c r="L97">
        <f>INPUT_CARTEIRA!L97</f>
        <v/>
      </c>
      <c r="M97">
        <f>IF($H97=0,"0",IF($H97&lt;=30,"1-30",IF($H97&lt;=60,"31-60",IF($H97&lt;=90,"61-90",IF($H97&lt;=180,"91-180","&gt;180")))))</f>
        <v/>
      </c>
      <c r="N97" s="10">
        <f>VLOOKUP($H97,REGUA_PDD!$A$4:$B$9,2,TRUE)</f>
        <v/>
      </c>
      <c r="O97" s="10">
        <f>INDEX(EFEITO_VAGAO!$F$4:$F$27, MATCH($C97, EFEITO_VAGAO!$A$4:$A$27, 0))</f>
        <v/>
      </c>
      <c r="P97" s="10">
        <f>IF(PARAMETROS!$B$5="SIM",MAX($N97,$O97),$N97)</f>
        <v/>
      </c>
      <c r="Q97" s="12">
        <f>$F97*$P97</f>
        <v/>
      </c>
      <c r="R97">
        <f>$H97&gt;=PARAMETROS!$B$3</f>
        <v/>
      </c>
    </row>
    <row r="98">
      <c r="A98" s="23">
        <f>INPUT_CARTEIRA!A98</f>
        <v/>
      </c>
      <c r="B98" s="14">
        <f>INPUT_CARTEIRA!B98</f>
        <v/>
      </c>
      <c r="C98" s="14">
        <f>INPUT_CARTEIRA!C98</f>
        <v/>
      </c>
      <c r="D98">
        <f>INPUT_CARTEIRA!D98</f>
        <v/>
      </c>
      <c r="E98">
        <f>INPUT_CARTEIRA!E98</f>
        <v/>
      </c>
      <c r="F98" s="12">
        <f>INPUT_CARTEIRA!F98</f>
        <v/>
      </c>
      <c r="G98" s="23">
        <f>INPUT_CARTEIRA!G98</f>
        <v/>
      </c>
      <c r="H98" s="9">
        <f>INPUT_CARTEIRA!H98</f>
        <v/>
      </c>
      <c r="I98">
        <f>INPUT_CARTEIRA!I98</f>
        <v/>
      </c>
      <c r="J98" s="12">
        <f>INPUT_CARTEIRA!J98</f>
        <v/>
      </c>
      <c r="K98" s="10">
        <f>INPUT_CARTEIRA!K98</f>
        <v/>
      </c>
      <c r="L98">
        <f>INPUT_CARTEIRA!L98</f>
        <v/>
      </c>
      <c r="M98">
        <f>IF($H98=0,"0",IF($H98&lt;=30,"1-30",IF($H98&lt;=60,"31-60",IF($H98&lt;=90,"61-90",IF($H98&lt;=180,"91-180","&gt;180")))))</f>
        <v/>
      </c>
      <c r="N98" s="10">
        <f>VLOOKUP($H98,REGUA_PDD!$A$4:$B$9,2,TRUE)</f>
        <v/>
      </c>
      <c r="O98" s="10">
        <f>INDEX(EFEITO_VAGAO!$F$4:$F$27, MATCH($C98, EFEITO_VAGAO!$A$4:$A$27, 0))</f>
        <v/>
      </c>
      <c r="P98" s="10">
        <f>IF(PARAMETROS!$B$5="SIM",MAX($N98,$O98),$N98)</f>
        <v/>
      </c>
      <c r="Q98" s="12">
        <f>$F98*$P98</f>
        <v/>
      </c>
      <c r="R98">
        <f>$H98&gt;=PARAMETROS!$B$3</f>
        <v/>
      </c>
    </row>
    <row r="99">
      <c r="A99" s="23">
        <f>INPUT_CARTEIRA!A99</f>
        <v/>
      </c>
      <c r="B99" s="14">
        <f>INPUT_CARTEIRA!B99</f>
        <v/>
      </c>
      <c r="C99" s="14">
        <f>INPUT_CARTEIRA!C99</f>
        <v/>
      </c>
      <c r="D99">
        <f>INPUT_CARTEIRA!D99</f>
        <v/>
      </c>
      <c r="E99">
        <f>INPUT_CARTEIRA!E99</f>
        <v/>
      </c>
      <c r="F99" s="12">
        <f>INPUT_CARTEIRA!F99</f>
        <v/>
      </c>
      <c r="G99" s="23">
        <f>INPUT_CARTEIRA!G99</f>
        <v/>
      </c>
      <c r="H99" s="9">
        <f>INPUT_CARTEIRA!H99</f>
        <v/>
      </c>
      <c r="I99">
        <f>INPUT_CARTEIRA!I99</f>
        <v/>
      </c>
      <c r="J99" s="12">
        <f>INPUT_CARTEIRA!J99</f>
        <v/>
      </c>
      <c r="K99" s="10">
        <f>INPUT_CARTEIRA!K99</f>
        <v/>
      </c>
      <c r="L99">
        <f>INPUT_CARTEIRA!L99</f>
        <v/>
      </c>
      <c r="M99">
        <f>IF($H99=0,"0",IF($H99&lt;=30,"1-30",IF($H99&lt;=60,"31-60",IF($H99&lt;=90,"61-90",IF($H99&lt;=180,"91-180","&gt;180")))))</f>
        <v/>
      </c>
      <c r="N99" s="10">
        <f>VLOOKUP($H99,REGUA_PDD!$A$4:$B$9,2,TRUE)</f>
        <v/>
      </c>
      <c r="O99" s="10">
        <f>INDEX(EFEITO_VAGAO!$F$4:$F$27, MATCH($C99, EFEITO_VAGAO!$A$4:$A$27, 0))</f>
        <v/>
      </c>
      <c r="P99" s="10">
        <f>IF(PARAMETROS!$B$5="SIM",MAX($N99,$O99),$N99)</f>
        <v/>
      </c>
      <c r="Q99" s="12">
        <f>$F99*$P99</f>
        <v/>
      </c>
      <c r="R99">
        <f>$H99&gt;=PARAMETROS!$B$3</f>
        <v/>
      </c>
    </row>
    <row r="100">
      <c r="A100" s="23">
        <f>INPUT_CARTEIRA!A100</f>
        <v/>
      </c>
      <c r="B100" s="14">
        <f>INPUT_CARTEIRA!B100</f>
        <v/>
      </c>
      <c r="C100" s="14">
        <f>INPUT_CARTEIRA!C100</f>
        <v/>
      </c>
      <c r="D100">
        <f>INPUT_CARTEIRA!D100</f>
        <v/>
      </c>
      <c r="E100">
        <f>INPUT_CARTEIRA!E100</f>
        <v/>
      </c>
      <c r="F100" s="12">
        <f>INPUT_CARTEIRA!F100</f>
        <v/>
      </c>
      <c r="G100" s="23">
        <f>INPUT_CARTEIRA!G100</f>
        <v/>
      </c>
      <c r="H100" s="9">
        <f>INPUT_CARTEIRA!H100</f>
        <v/>
      </c>
      <c r="I100">
        <f>INPUT_CARTEIRA!I100</f>
        <v/>
      </c>
      <c r="J100" s="12">
        <f>INPUT_CARTEIRA!J100</f>
        <v/>
      </c>
      <c r="K100" s="10">
        <f>INPUT_CARTEIRA!K100</f>
        <v/>
      </c>
      <c r="L100">
        <f>INPUT_CARTEIRA!L100</f>
        <v/>
      </c>
      <c r="M100">
        <f>IF($H100=0,"0",IF($H100&lt;=30,"1-30",IF($H100&lt;=60,"31-60",IF($H100&lt;=90,"61-90",IF($H100&lt;=180,"91-180","&gt;180")))))</f>
        <v/>
      </c>
      <c r="N100" s="10">
        <f>VLOOKUP($H100,REGUA_PDD!$A$4:$B$9,2,TRUE)</f>
        <v/>
      </c>
      <c r="O100" s="10">
        <f>INDEX(EFEITO_VAGAO!$F$4:$F$27, MATCH($C100, EFEITO_VAGAO!$A$4:$A$27, 0))</f>
        <v/>
      </c>
      <c r="P100" s="10">
        <f>IF(PARAMETROS!$B$5="SIM",MAX($N100,$O100),$N100)</f>
        <v/>
      </c>
      <c r="Q100" s="12">
        <f>$F100*$P100</f>
        <v/>
      </c>
      <c r="R100">
        <f>$H100&gt;=PARAMETROS!$B$3</f>
        <v/>
      </c>
    </row>
    <row r="101">
      <c r="A101" s="23">
        <f>INPUT_CARTEIRA!A101</f>
        <v/>
      </c>
      <c r="B101" s="14">
        <f>INPUT_CARTEIRA!B101</f>
        <v/>
      </c>
      <c r="C101" s="14">
        <f>INPUT_CARTEIRA!C101</f>
        <v/>
      </c>
      <c r="D101">
        <f>INPUT_CARTEIRA!D101</f>
        <v/>
      </c>
      <c r="E101">
        <f>INPUT_CARTEIRA!E101</f>
        <v/>
      </c>
      <c r="F101" s="12">
        <f>INPUT_CARTEIRA!F101</f>
        <v/>
      </c>
      <c r="G101" s="23">
        <f>INPUT_CARTEIRA!G101</f>
        <v/>
      </c>
      <c r="H101" s="9">
        <f>INPUT_CARTEIRA!H101</f>
        <v/>
      </c>
      <c r="I101">
        <f>INPUT_CARTEIRA!I101</f>
        <v/>
      </c>
      <c r="J101" s="12">
        <f>INPUT_CARTEIRA!J101</f>
        <v/>
      </c>
      <c r="K101" s="10">
        <f>INPUT_CARTEIRA!K101</f>
        <v/>
      </c>
      <c r="L101">
        <f>INPUT_CARTEIRA!L101</f>
        <v/>
      </c>
      <c r="M101">
        <f>IF($H101=0,"0",IF($H101&lt;=30,"1-30",IF($H101&lt;=60,"31-60",IF($H101&lt;=90,"61-90",IF($H101&lt;=180,"91-180","&gt;180")))))</f>
        <v/>
      </c>
      <c r="N101" s="10">
        <f>VLOOKUP($H101,REGUA_PDD!$A$4:$B$9,2,TRUE)</f>
        <v/>
      </c>
      <c r="O101" s="10">
        <f>INDEX(EFEITO_VAGAO!$F$4:$F$27, MATCH($C101, EFEITO_VAGAO!$A$4:$A$27, 0))</f>
        <v/>
      </c>
      <c r="P101" s="10">
        <f>IF(PARAMETROS!$B$5="SIM",MAX($N101,$O101),$N101)</f>
        <v/>
      </c>
      <c r="Q101" s="12">
        <f>$F101*$P101</f>
        <v/>
      </c>
      <c r="R101">
        <f>$H101&gt;=PARAMETROS!$B$3</f>
        <v/>
      </c>
    </row>
    <row r="102">
      <c r="A102" s="23">
        <f>INPUT_CARTEIRA!A102</f>
        <v/>
      </c>
      <c r="B102" s="14">
        <f>INPUT_CARTEIRA!B102</f>
        <v/>
      </c>
      <c r="C102" s="14">
        <f>INPUT_CARTEIRA!C102</f>
        <v/>
      </c>
      <c r="D102">
        <f>INPUT_CARTEIRA!D102</f>
        <v/>
      </c>
      <c r="E102">
        <f>INPUT_CARTEIRA!E102</f>
        <v/>
      </c>
      <c r="F102" s="12">
        <f>INPUT_CARTEIRA!F102</f>
        <v/>
      </c>
      <c r="G102" s="23">
        <f>INPUT_CARTEIRA!G102</f>
        <v/>
      </c>
      <c r="H102" s="9">
        <f>INPUT_CARTEIRA!H102</f>
        <v/>
      </c>
      <c r="I102">
        <f>INPUT_CARTEIRA!I102</f>
        <v/>
      </c>
      <c r="J102" s="12">
        <f>INPUT_CARTEIRA!J102</f>
        <v/>
      </c>
      <c r="K102" s="10">
        <f>INPUT_CARTEIRA!K102</f>
        <v/>
      </c>
      <c r="L102">
        <f>INPUT_CARTEIRA!L102</f>
        <v/>
      </c>
      <c r="M102">
        <f>IF($H102=0,"0",IF($H102&lt;=30,"1-30",IF($H102&lt;=60,"31-60",IF($H102&lt;=90,"61-90",IF($H102&lt;=180,"91-180","&gt;180")))))</f>
        <v/>
      </c>
      <c r="N102" s="10">
        <f>VLOOKUP($H102,REGUA_PDD!$A$4:$B$9,2,TRUE)</f>
        <v/>
      </c>
      <c r="O102" s="10">
        <f>INDEX(EFEITO_VAGAO!$F$4:$F$27, MATCH($C102, EFEITO_VAGAO!$A$4:$A$27, 0))</f>
        <v/>
      </c>
      <c r="P102" s="10">
        <f>IF(PARAMETROS!$B$5="SIM",MAX($N102,$O102),$N102)</f>
        <v/>
      </c>
      <c r="Q102" s="12">
        <f>$F102*$P102</f>
        <v/>
      </c>
      <c r="R102">
        <f>$H102&gt;=PARAMETROS!$B$3</f>
        <v/>
      </c>
    </row>
    <row r="103">
      <c r="A103" s="23">
        <f>INPUT_CARTEIRA!A103</f>
        <v/>
      </c>
      <c r="B103" s="14">
        <f>INPUT_CARTEIRA!B103</f>
        <v/>
      </c>
      <c r="C103" s="14">
        <f>INPUT_CARTEIRA!C103</f>
        <v/>
      </c>
      <c r="D103">
        <f>INPUT_CARTEIRA!D103</f>
        <v/>
      </c>
      <c r="E103">
        <f>INPUT_CARTEIRA!E103</f>
        <v/>
      </c>
      <c r="F103" s="12">
        <f>INPUT_CARTEIRA!F103</f>
        <v/>
      </c>
      <c r="G103" s="23">
        <f>INPUT_CARTEIRA!G103</f>
        <v/>
      </c>
      <c r="H103" s="9">
        <f>INPUT_CARTEIRA!H103</f>
        <v/>
      </c>
      <c r="I103">
        <f>INPUT_CARTEIRA!I103</f>
        <v/>
      </c>
      <c r="J103" s="12">
        <f>INPUT_CARTEIRA!J103</f>
        <v/>
      </c>
      <c r="K103" s="10">
        <f>INPUT_CARTEIRA!K103</f>
        <v/>
      </c>
      <c r="L103">
        <f>INPUT_CARTEIRA!L103</f>
        <v/>
      </c>
      <c r="M103">
        <f>IF($H103=0,"0",IF($H103&lt;=30,"1-30",IF($H103&lt;=60,"31-60",IF($H103&lt;=90,"61-90",IF($H103&lt;=180,"91-180","&gt;180")))))</f>
        <v/>
      </c>
      <c r="N103" s="10">
        <f>VLOOKUP($H103,REGUA_PDD!$A$4:$B$9,2,TRUE)</f>
        <v/>
      </c>
      <c r="O103" s="10">
        <f>INDEX(EFEITO_VAGAO!$F$4:$F$27, MATCH($C103, EFEITO_VAGAO!$A$4:$A$27, 0))</f>
        <v/>
      </c>
      <c r="P103" s="10">
        <f>IF(PARAMETROS!$B$5="SIM",MAX($N103,$O103),$N103)</f>
        <v/>
      </c>
      <c r="Q103" s="12">
        <f>$F103*$P103</f>
        <v/>
      </c>
      <c r="R103">
        <f>$H103&gt;=PARAMETROS!$B$3</f>
        <v/>
      </c>
    </row>
    <row r="104">
      <c r="A104" s="23">
        <f>INPUT_CARTEIRA!A104</f>
        <v/>
      </c>
      <c r="B104" s="14">
        <f>INPUT_CARTEIRA!B104</f>
        <v/>
      </c>
      <c r="C104" s="14">
        <f>INPUT_CARTEIRA!C104</f>
        <v/>
      </c>
      <c r="D104">
        <f>INPUT_CARTEIRA!D104</f>
        <v/>
      </c>
      <c r="E104">
        <f>INPUT_CARTEIRA!E104</f>
        <v/>
      </c>
      <c r="F104" s="12">
        <f>INPUT_CARTEIRA!F104</f>
        <v/>
      </c>
      <c r="G104" s="23">
        <f>INPUT_CARTEIRA!G104</f>
        <v/>
      </c>
      <c r="H104" s="9">
        <f>INPUT_CARTEIRA!H104</f>
        <v/>
      </c>
      <c r="I104">
        <f>INPUT_CARTEIRA!I104</f>
        <v/>
      </c>
      <c r="J104" s="12">
        <f>INPUT_CARTEIRA!J104</f>
        <v/>
      </c>
      <c r="K104" s="10">
        <f>INPUT_CARTEIRA!K104</f>
        <v/>
      </c>
      <c r="L104">
        <f>INPUT_CARTEIRA!L104</f>
        <v/>
      </c>
      <c r="M104">
        <f>IF($H104=0,"0",IF($H104&lt;=30,"1-30",IF($H104&lt;=60,"31-60",IF($H104&lt;=90,"61-90",IF($H104&lt;=180,"91-180","&gt;180")))))</f>
        <v/>
      </c>
      <c r="N104" s="10">
        <f>VLOOKUP($H104,REGUA_PDD!$A$4:$B$9,2,TRUE)</f>
        <v/>
      </c>
      <c r="O104" s="10">
        <f>INDEX(EFEITO_VAGAO!$F$4:$F$27, MATCH($C104, EFEITO_VAGAO!$A$4:$A$27, 0))</f>
        <v/>
      </c>
      <c r="P104" s="10">
        <f>IF(PARAMETROS!$B$5="SIM",MAX($N104,$O104),$N104)</f>
        <v/>
      </c>
      <c r="Q104" s="12">
        <f>$F104*$P104</f>
        <v/>
      </c>
      <c r="R104">
        <f>$H104&gt;=PARAMETROS!$B$3</f>
        <v/>
      </c>
    </row>
    <row r="105">
      <c r="A105" s="23">
        <f>INPUT_CARTEIRA!A105</f>
        <v/>
      </c>
      <c r="B105" s="14">
        <f>INPUT_CARTEIRA!B105</f>
        <v/>
      </c>
      <c r="C105" s="14">
        <f>INPUT_CARTEIRA!C105</f>
        <v/>
      </c>
      <c r="D105">
        <f>INPUT_CARTEIRA!D105</f>
        <v/>
      </c>
      <c r="E105">
        <f>INPUT_CARTEIRA!E105</f>
        <v/>
      </c>
      <c r="F105" s="12">
        <f>INPUT_CARTEIRA!F105</f>
        <v/>
      </c>
      <c r="G105" s="23">
        <f>INPUT_CARTEIRA!G105</f>
        <v/>
      </c>
      <c r="H105" s="9">
        <f>INPUT_CARTEIRA!H105</f>
        <v/>
      </c>
      <c r="I105">
        <f>INPUT_CARTEIRA!I105</f>
        <v/>
      </c>
      <c r="J105" s="12">
        <f>INPUT_CARTEIRA!J105</f>
        <v/>
      </c>
      <c r="K105" s="10">
        <f>INPUT_CARTEIRA!K105</f>
        <v/>
      </c>
      <c r="L105">
        <f>INPUT_CARTEIRA!L105</f>
        <v/>
      </c>
      <c r="M105">
        <f>IF($H105=0,"0",IF($H105&lt;=30,"1-30",IF($H105&lt;=60,"31-60",IF($H105&lt;=90,"61-90",IF($H105&lt;=180,"91-180","&gt;180")))))</f>
        <v/>
      </c>
      <c r="N105" s="10">
        <f>VLOOKUP($H105,REGUA_PDD!$A$4:$B$9,2,TRUE)</f>
        <v/>
      </c>
      <c r="O105" s="10">
        <f>INDEX(EFEITO_VAGAO!$F$4:$F$27, MATCH($C105, EFEITO_VAGAO!$A$4:$A$27, 0))</f>
        <v/>
      </c>
      <c r="P105" s="10">
        <f>IF(PARAMETROS!$B$5="SIM",MAX($N105,$O105),$N105)</f>
        <v/>
      </c>
      <c r="Q105" s="12">
        <f>$F105*$P105</f>
        <v/>
      </c>
      <c r="R105">
        <f>$H105&gt;=PARAMETROS!$B$3</f>
        <v/>
      </c>
    </row>
    <row r="106">
      <c r="A106" s="23">
        <f>INPUT_CARTEIRA!A106</f>
        <v/>
      </c>
      <c r="B106" s="14">
        <f>INPUT_CARTEIRA!B106</f>
        <v/>
      </c>
      <c r="C106" s="14">
        <f>INPUT_CARTEIRA!C106</f>
        <v/>
      </c>
      <c r="D106">
        <f>INPUT_CARTEIRA!D106</f>
        <v/>
      </c>
      <c r="E106">
        <f>INPUT_CARTEIRA!E106</f>
        <v/>
      </c>
      <c r="F106" s="12">
        <f>INPUT_CARTEIRA!F106</f>
        <v/>
      </c>
      <c r="G106" s="23">
        <f>INPUT_CARTEIRA!G106</f>
        <v/>
      </c>
      <c r="H106" s="9">
        <f>INPUT_CARTEIRA!H106</f>
        <v/>
      </c>
      <c r="I106">
        <f>INPUT_CARTEIRA!I106</f>
        <v/>
      </c>
      <c r="J106" s="12">
        <f>INPUT_CARTEIRA!J106</f>
        <v/>
      </c>
      <c r="K106" s="10">
        <f>INPUT_CARTEIRA!K106</f>
        <v/>
      </c>
      <c r="L106">
        <f>INPUT_CARTEIRA!L106</f>
        <v/>
      </c>
      <c r="M106">
        <f>IF($H106=0,"0",IF($H106&lt;=30,"1-30",IF($H106&lt;=60,"31-60",IF($H106&lt;=90,"61-90",IF($H106&lt;=180,"91-180","&gt;180")))))</f>
        <v/>
      </c>
      <c r="N106" s="10">
        <f>VLOOKUP($H106,REGUA_PDD!$A$4:$B$9,2,TRUE)</f>
        <v/>
      </c>
      <c r="O106" s="10">
        <f>INDEX(EFEITO_VAGAO!$F$4:$F$27, MATCH($C106, EFEITO_VAGAO!$A$4:$A$27, 0))</f>
        <v/>
      </c>
      <c r="P106" s="10">
        <f>IF(PARAMETROS!$B$5="SIM",MAX($N106,$O106),$N106)</f>
        <v/>
      </c>
      <c r="Q106" s="12">
        <f>$F106*$P106</f>
        <v/>
      </c>
      <c r="R106">
        <f>$H106&gt;=PARAMETROS!$B$3</f>
        <v/>
      </c>
    </row>
    <row r="107">
      <c r="A107" s="23">
        <f>INPUT_CARTEIRA!A107</f>
        <v/>
      </c>
      <c r="B107" s="14">
        <f>INPUT_CARTEIRA!B107</f>
        <v/>
      </c>
      <c r="C107" s="14">
        <f>INPUT_CARTEIRA!C107</f>
        <v/>
      </c>
      <c r="D107">
        <f>INPUT_CARTEIRA!D107</f>
        <v/>
      </c>
      <c r="E107">
        <f>INPUT_CARTEIRA!E107</f>
        <v/>
      </c>
      <c r="F107" s="12">
        <f>INPUT_CARTEIRA!F107</f>
        <v/>
      </c>
      <c r="G107" s="23">
        <f>INPUT_CARTEIRA!G107</f>
        <v/>
      </c>
      <c r="H107" s="9">
        <f>INPUT_CARTEIRA!H107</f>
        <v/>
      </c>
      <c r="I107">
        <f>INPUT_CARTEIRA!I107</f>
        <v/>
      </c>
      <c r="J107" s="12">
        <f>INPUT_CARTEIRA!J107</f>
        <v/>
      </c>
      <c r="K107" s="10">
        <f>INPUT_CARTEIRA!K107</f>
        <v/>
      </c>
      <c r="L107">
        <f>INPUT_CARTEIRA!L107</f>
        <v/>
      </c>
      <c r="M107">
        <f>IF($H107=0,"0",IF($H107&lt;=30,"1-30",IF($H107&lt;=60,"31-60",IF($H107&lt;=90,"61-90",IF($H107&lt;=180,"91-180","&gt;180")))))</f>
        <v/>
      </c>
      <c r="N107" s="10">
        <f>VLOOKUP($H107,REGUA_PDD!$A$4:$B$9,2,TRUE)</f>
        <v/>
      </c>
      <c r="O107" s="10">
        <f>INDEX(EFEITO_VAGAO!$F$4:$F$27, MATCH($C107, EFEITO_VAGAO!$A$4:$A$27, 0))</f>
        <v/>
      </c>
      <c r="P107" s="10">
        <f>IF(PARAMETROS!$B$5="SIM",MAX($N107,$O107),$N107)</f>
        <v/>
      </c>
      <c r="Q107" s="12">
        <f>$F107*$P107</f>
        <v/>
      </c>
      <c r="R107">
        <f>$H107&gt;=PARAMETROS!$B$3</f>
        <v/>
      </c>
    </row>
    <row r="108">
      <c r="A108" s="23">
        <f>INPUT_CARTEIRA!A108</f>
        <v/>
      </c>
      <c r="B108" s="14">
        <f>INPUT_CARTEIRA!B108</f>
        <v/>
      </c>
      <c r="C108" s="14">
        <f>INPUT_CARTEIRA!C108</f>
        <v/>
      </c>
      <c r="D108">
        <f>INPUT_CARTEIRA!D108</f>
        <v/>
      </c>
      <c r="E108">
        <f>INPUT_CARTEIRA!E108</f>
        <v/>
      </c>
      <c r="F108" s="12">
        <f>INPUT_CARTEIRA!F108</f>
        <v/>
      </c>
      <c r="G108" s="23">
        <f>INPUT_CARTEIRA!G108</f>
        <v/>
      </c>
      <c r="H108" s="9">
        <f>INPUT_CARTEIRA!H108</f>
        <v/>
      </c>
      <c r="I108">
        <f>INPUT_CARTEIRA!I108</f>
        <v/>
      </c>
      <c r="J108" s="12">
        <f>INPUT_CARTEIRA!J108</f>
        <v/>
      </c>
      <c r="K108" s="10">
        <f>INPUT_CARTEIRA!K108</f>
        <v/>
      </c>
      <c r="L108">
        <f>INPUT_CARTEIRA!L108</f>
        <v/>
      </c>
      <c r="M108">
        <f>IF($H108=0,"0",IF($H108&lt;=30,"1-30",IF($H108&lt;=60,"31-60",IF($H108&lt;=90,"61-90",IF($H108&lt;=180,"91-180","&gt;180")))))</f>
        <v/>
      </c>
      <c r="N108" s="10">
        <f>VLOOKUP($H108,REGUA_PDD!$A$4:$B$9,2,TRUE)</f>
        <v/>
      </c>
      <c r="O108" s="10">
        <f>INDEX(EFEITO_VAGAO!$F$4:$F$27, MATCH($C108, EFEITO_VAGAO!$A$4:$A$27, 0))</f>
        <v/>
      </c>
      <c r="P108" s="10">
        <f>IF(PARAMETROS!$B$5="SIM",MAX($N108,$O108),$N108)</f>
        <v/>
      </c>
      <c r="Q108" s="12">
        <f>$F108*$P108</f>
        <v/>
      </c>
      <c r="R108">
        <f>$H108&gt;=PARAMETROS!$B$3</f>
        <v/>
      </c>
    </row>
    <row r="109">
      <c r="A109" s="23">
        <f>INPUT_CARTEIRA!A109</f>
        <v/>
      </c>
      <c r="B109" s="14">
        <f>INPUT_CARTEIRA!B109</f>
        <v/>
      </c>
      <c r="C109" s="14">
        <f>INPUT_CARTEIRA!C109</f>
        <v/>
      </c>
      <c r="D109">
        <f>INPUT_CARTEIRA!D109</f>
        <v/>
      </c>
      <c r="E109">
        <f>INPUT_CARTEIRA!E109</f>
        <v/>
      </c>
      <c r="F109" s="12">
        <f>INPUT_CARTEIRA!F109</f>
        <v/>
      </c>
      <c r="G109" s="23">
        <f>INPUT_CARTEIRA!G109</f>
        <v/>
      </c>
      <c r="H109" s="9">
        <f>INPUT_CARTEIRA!H109</f>
        <v/>
      </c>
      <c r="I109">
        <f>INPUT_CARTEIRA!I109</f>
        <v/>
      </c>
      <c r="J109" s="12">
        <f>INPUT_CARTEIRA!J109</f>
        <v/>
      </c>
      <c r="K109" s="10">
        <f>INPUT_CARTEIRA!K109</f>
        <v/>
      </c>
      <c r="L109">
        <f>INPUT_CARTEIRA!L109</f>
        <v/>
      </c>
      <c r="M109">
        <f>IF($H109=0,"0",IF($H109&lt;=30,"1-30",IF($H109&lt;=60,"31-60",IF($H109&lt;=90,"61-90",IF($H109&lt;=180,"91-180","&gt;180")))))</f>
        <v/>
      </c>
      <c r="N109" s="10">
        <f>VLOOKUP($H109,REGUA_PDD!$A$4:$B$9,2,TRUE)</f>
        <v/>
      </c>
      <c r="O109" s="10">
        <f>INDEX(EFEITO_VAGAO!$F$4:$F$27, MATCH($C109, EFEITO_VAGAO!$A$4:$A$27, 0))</f>
        <v/>
      </c>
      <c r="P109" s="10">
        <f>IF(PARAMETROS!$B$5="SIM",MAX($N109,$O109),$N109)</f>
        <v/>
      </c>
      <c r="Q109" s="12">
        <f>$F109*$P109</f>
        <v/>
      </c>
      <c r="R109">
        <f>$H109&gt;=PARAMETROS!$B$3</f>
        <v/>
      </c>
    </row>
    <row r="110">
      <c r="A110" s="23">
        <f>INPUT_CARTEIRA!A110</f>
        <v/>
      </c>
      <c r="B110" s="14">
        <f>INPUT_CARTEIRA!B110</f>
        <v/>
      </c>
      <c r="C110" s="14">
        <f>INPUT_CARTEIRA!C110</f>
        <v/>
      </c>
      <c r="D110">
        <f>INPUT_CARTEIRA!D110</f>
        <v/>
      </c>
      <c r="E110">
        <f>INPUT_CARTEIRA!E110</f>
        <v/>
      </c>
      <c r="F110" s="12">
        <f>INPUT_CARTEIRA!F110</f>
        <v/>
      </c>
      <c r="G110" s="23">
        <f>INPUT_CARTEIRA!G110</f>
        <v/>
      </c>
      <c r="H110" s="9">
        <f>INPUT_CARTEIRA!H110</f>
        <v/>
      </c>
      <c r="I110">
        <f>INPUT_CARTEIRA!I110</f>
        <v/>
      </c>
      <c r="J110" s="12">
        <f>INPUT_CARTEIRA!J110</f>
        <v/>
      </c>
      <c r="K110" s="10">
        <f>INPUT_CARTEIRA!K110</f>
        <v/>
      </c>
      <c r="L110">
        <f>INPUT_CARTEIRA!L110</f>
        <v/>
      </c>
      <c r="M110">
        <f>IF($H110=0,"0",IF($H110&lt;=30,"1-30",IF($H110&lt;=60,"31-60",IF($H110&lt;=90,"61-90",IF($H110&lt;=180,"91-180","&gt;180")))))</f>
        <v/>
      </c>
      <c r="N110" s="10">
        <f>VLOOKUP($H110,REGUA_PDD!$A$4:$B$9,2,TRUE)</f>
        <v/>
      </c>
      <c r="O110" s="10">
        <f>INDEX(EFEITO_VAGAO!$F$4:$F$27, MATCH($C110, EFEITO_VAGAO!$A$4:$A$27, 0))</f>
        <v/>
      </c>
      <c r="P110" s="10">
        <f>IF(PARAMETROS!$B$5="SIM",MAX($N110,$O110),$N110)</f>
        <v/>
      </c>
      <c r="Q110" s="12">
        <f>$F110*$P110</f>
        <v/>
      </c>
      <c r="R110">
        <f>$H110&gt;=PARAMETROS!$B$3</f>
        <v/>
      </c>
    </row>
    <row r="111">
      <c r="A111" s="23">
        <f>INPUT_CARTEIRA!A111</f>
        <v/>
      </c>
      <c r="B111" s="14">
        <f>INPUT_CARTEIRA!B111</f>
        <v/>
      </c>
      <c r="C111" s="14">
        <f>INPUT_CARTEIRA!C111</f>
        <v/>
      </c>
      <c r="D111">
        <f>INPUT_CARTEIRA!D111</f>
        <v/>
      </c>
      <c r="E111">
        <f>INPUT_CARTEIRA!E111</f>
        <v/>
      </c>
      <c r="F111" s="12">
        <f>INPUT_CARTEIRA!F111</f>
        <v/>
      </c>
      <c r="G111" s="23">
        <f>INPUT_CARTEIRA!G111</f>
        <v/>
      </c>
      <c r="H111" s="9">
        <f>INPUT_CARTEIRA!H111</f>
        <v/>
      </c>
      <c r="I111">
        <f>INPUT_CARTEIRA!I111</f>
        <v/>
      </c>
      <c r="J111" s="12">
        <f>INPUT_CARTEIRA!J111</f>
        <v/>
      </c>
      <c r="K111" s="10">
        <f>INPUT_CARTEIRA!K111</f>
        <v/>
      </c>
      <c r="L111">
        <f>INPUT_CARTEIRA!L111</f>
        <v/>
      </c>
      <c r="M111">
        <f>IF($H111=0,"0",IF($H111&lt;=30,"1-30",IF($H111&lt;=60,"31-60",IF($H111&lt;=90,"61-90",IF($H111&lt;=180,"91-180","&gt;180")))))</f>
        <v/>
      </c>
      <c r="N111" s="10">
        <f>VLOOKUP($H111,REGUA_PDD!$A$4:$B$9,2,TRUE)</f>
        <v/>
      </c>
      <c r="O111" s="10">
        <f>INDEX(EFEITO_VAGAO!$F$4:$F$27, MATCH($C111, EFEITO_VAGAO!$A$4:$A$27, 0))</f>
        <v/>
      </c>
      <c r="P111" s="10">
        <f>IF(PARAMETROS!$B$5="SIM",MAX($N111,$O111),$N111)</f>
        <v/>
      </c>
      <c r="Q111" s="12">
        <f>$F111*$P111</f>
        <v/>
      </c>
      <c r="R111">
        <f>$H111&gt;=PARAMETROS!$B$3</f>
        <v/>
      </c>
    </row>
    <row r="112">
      <c r="A112" s="23">
        <f>INPUT_CARTEIRA!A112</f>
        <v/>
      </c>
      <c r="B112" s="14">
        <f>INPUT_CARTEIRA!B112</f>
        <v/>
      </c>
      <c r="C112" s="14">
        <f>INPUT_CARTEIRA!C112</f>
        <v/>
      </c>
      <c r="D112">
        <f>INPUT_CARTEIRA!D112</f>
        <v/>
      </c>
      <c r="E112">
        <f>INPUT_CARTEIRA!E112</f>
        <v/>
      </c>
      <c r="F112" s="12">
        <f>INPUT_CARTEIRA!F112</f>
        <v/>
      </c>
      <c r="G112" s="23">
        <f>INPUT_CARTEIRA!G112</f>
        <v/>
      </c>
      <c r="H112" s="9">
        <f>INPUT_CARTEIRA!H112</f>
        <v/>
      </c>
      <c r="I112">
        <f>INPUT_CARTEIRA!I112</f>
        <v/>
      </c>
      <c r="J112" s="12">
        <f>INPUT_CARTEIRA!J112</f>
        <v/>
      </c>
      <c r="K112" s="10">
        <f>INPUT_CARTEIRA!K112</f>
        <v/>
      </c>
      <c r="L112">
        <f>INPUT_CARTEIRA!L112</f>
        <v/>
      </c>
      <c r="M112">
        <f>IF($H112=0,"0",IF($H112&lt;=30,"1-30",IF($H112&lt;=60,"31-60",IF($H112&lt;=90,"61-90",IF($H112&lt;=180,"91-180","&gt;180")))))</f>
        <v/>
      </c>
      <c r="N112" s="10">
        <f>VLOOKUP($H112,REGUA_PDD!$A$4:$B$9,2,TRUE)</f>
        <v/>
      </c>
      <c r="O112" s="10">
        <f>INDEX(EFEITO_VAGAO!$F$4:$F$27, MATCH($C112, EFEITO_VAGAO!$A$4:$A$27, 0))</f>
        <v/>
      </c>
      <c r="P112" s="10">
        <f>IF(PARAMETROS!$B$5="SIM",MAX($N112,$O112),$N112)</f>
        <v/>
      </c>
      <c r="Q112" s="12">
        <f>$F112*$P112</f>
        <v/>
      </c>
      <c r="R112">
        <f>$H112&gt;=PARAMETROS!$B$3</f>
        <v/>
      </c>
    </row>
    <row r="113">
      <c r="A113" s="23">
        <f>INPUT_CARTEIRA!A113</f>
        <v/>
      </c>
      <c r="B113" s="14">
        <f>INPUT_CARTEIRA!B113</f>
        <v/>
      </c>
      <c r="C113" s="14">
        <f>INPUT_CARTEIRA!C113</f>
        <v/>
      </c>
      <c r="D113">
        <f>INPUT_CARTEIRA!D113</f>
        <v/>
      </c>
      <c r="E113">
        <f>INPUT_CARTEIRA!E113</f>
        <v/>
      </c>
      <c r="F113" s="12">
        <f>INPUT_CARTEIRA!F113</f>
        <v/>
      </c>
      <c r="G113" s="23">
        <f>INPUT_CARTEIRA!G113</f>
        <v/>
      </c>
      <c r="H113" s="9">
        <f>INPUT_CARTEIRA!H113</f>
        <v/>
      </c>
      <c r="I113">
        <f>INPUT_CARTEIRA!I113</f>
        <v/>
      </c>
      <c r="J113" s="12">
        <f>INPUT_CARTEIRA!J113</f>
        <v/>
      </c>
      <c r="K113" s="10">
        <f>INPUT_CARTEIRA!K113</f>
        <v/>
      </c>
      <c r="L113">
        <f>INPUT_CARTEIRA!L113</f>
        <v/>
      </c>
      <c r="M113">
        <f>IF($H113=0,"0",IF($H113&lt;=30,"1-30",IF($H113&lt;=60,"31-60",IF($H113&lt;=90,"61-90",IF($H113&lt;=180,"91-180","&gt;180")))))</f>
        <v/>
      </c>
      <c r="N113" s="10">
        <f>VLOOKUP($H113,REGUA_PDD!$A$4:$B$9,2,TRUE)</f>
        <v/>
      </c>
      <c r="O113" s="10">
        <f>INDEX(EFEITO_VAGAO!$F$4:$F$27, MATCH($C113, EFEITO_VAGAO!$A$4:$A$27, 0))</f>
        <v/>
      </c>
      <c r="P113" s="10">
        <f>IF(PARAMETROS!$B$5="SIM",MAX($N113,$O113),$N113)</f>
        <v/>
      </c>
      <c r="Q113" s="12">
        <f>$F113*$P113</f>
        <v/>
      </c>
      <c r="R113">
        <f>$H113&gt;=PARAMETROS!$B$3</f>
        <v/>
      </c>
    </row>
    <row r="114">
      <c r="A114" s="23">
        <f>INPUT_CARTEIRA!A114</f>
        <v/>
      </c>
      <c r="B114" s="14">
        <f>INPUT_CARTEIRA!B114</f>
        <v/>
      </c>
      <c r="C114" s="14">
        <f>INPUT_CARTEIRA!C114</f>
        <v/>
      </c>
      <c r="D114">
        <f>INPUT_CARTEIRA!D114</f>
        <v/>
      </c>
      <c r="E114">
        <f>INPUT_CARTEIRA!E114</f>
        <v/>
      </c>
      <c r="F114" s="12">
        <f>INPUT_CARTEIRA!F114</f>
        <v/>
      </c>
      <c r="G114" s="23">
        <f>INPUT_CARTEIRA!G114</f>
        <v/>
      </c>
      <c r="H114" s="9">
        <f>INPUT_CARTEIRA!H114</f>
        <v/>
      </c>
      <c r="I114">
        <f>INPUT_CARTEIRA!I114</f>
        <v/>
      </c>
      <c r="J114" s="12">
        <f>INPUT_CARTEIRA!J114</f>
        <v/>
      </c>
      <c r="K114" s="10">
        <f>INPUT_CARTEIRA!K114</f>
        <v/>
      </c>
      <c r="L114">
        <f>INPUT_CARTEIRA!L114</f>
        <v/>
      </c>
      <c r="M114">
        <f>IF($H114=0,"0",IF($H114&lt;=30,"1-30",IF($H114&lt;=60,"31-60",IF($H114&lt;=90,"61-90",IF($H114&lt;=180,"91-180","&gt;180")))))</f>
        <v/>
      </c>
      <c r="N114" s="10">
        <f>VLOOKUP($H114,REGUA_PDD!$A$4:$B$9,2,TRUE)</f>
        <v/>
      </c>
      <c r="O114" s="10">
        <f>INDEX(EFEITO_VAGAO!$F$4:$F$27, MATCH($C114, EFEITO_VAGAO!$A$4:$A$27, 0))</f>
        <v/>
      </c>
      <c r="P114" s="10">
        <f>IF(PARAMETROS!$B$5="SIM",MAX($N114,$O114),$N114)</f>
        <v/>
      </c>
      <c r="Q114" s="12">
        <f>$F114*$P114</f>
        <v/>
      </c>
      <c r="R114">
        <f>$H114&gt;=PARAMETROS!$B$3</f>
        <v/>
      </c>
    </row>
    <row r="115">
      <c r="A115" s="23">
        <f>INPUT_CARTEIRA!A115</f>
        <v/>
      </c>
      <c r="B115" s="14">
        <f>INPUT_CARTEIRA!B115</f>
        <v/>
      </c>
      <c r="C115" s="14">
        <f>INPUT_CARTEIRA!C115</f>
        <v/>
      </c>
      <c r="D115">
        <f>INPUT_CARTEIRA!D115</f>
        <v/>
      </c>
      <c r="E115">
        <f>INPUT_CARTEIRA!E115</f>
        <v/>
      </c>
      <c r="F115" s="12">
        <f>INPUT_CARTEIRA!F115</f>
        <v/>
      </c>
      <c r="G115" s="23">
        <f>INPUT_CARTEIRA!G115</f>
        <v/>
      </c>
      <c r="H115" s="9">
        <f>INPUT_CARTEIRA!H115</f>
        <v/>
      </c>
      <c r="I115">
        <f>INPUT_CARTEIRA!I115</f>
        <v/>
      </c>
      <c r="J115" s="12">
        <f>INPUT_CARTEIRA!J115</f>
        <v/>
      </c>
      <c r="K115" s="10">
        <f>INPUT_CARTEIRA!K115</f>
        <v/>
      </c>
      <c r="L115">
        <f>INPUT_CARTEIRA!L115</f>
        <v/>
      </c>
      <c r="M115">
        <f>IF($H115=0,"0",IF($H115&lt;=30,"1-30",IF($H115&lt;=60,"31-60",IF($H115&lt;=90,"61-90",IF($H115&lt;=180,"91-180","&gt;180")))))</f>
        <v/>
      </c>
      <c r="N115" s="10">
        <f>VLOOKUP($H115,REGUA_PDD!$A$4:$B$9,2,TRUE)</f>
        <v/>
      </c>
      <c r="O115" s="10">
        <f>INDEX(EFEITO_VAGAO!$F$4:$F$27, MATCH($C115, EFEITO_VAGAO!$A$4:$A$27, 0))</f>
        <v/>
      </c>
      <c r="P115" s="10">
        <f>IF(PARAMETROS!$B$5="SIM",MAX($N115,$O115),$N115)</f>
        <v/>
      </c>
      <c r="Q115" s="12">
        <f>$F115*$P115</f>
        <v/>
      </c>
      <c r="R115">
        <f>$H115&gt;=PARAMETROS!$B$3</f>
        <v/>
      </c>
    </row>
    <row r="116">
      <c r="A116" s="23">
        <f>INPUT_CARTEIRA!A116</f>
        <v/>
      </c>
      <c r="B116" s="14">
        <f>INPUT_CARTEIRA!B116</f>
        <v/>
      </c>
      <c r="C116" s="14">
        <f>INPUT_CARTEIRA!C116</f>
        <v/>
      </c>
      <c r="D116">
        <f>INPUT_CARTEIRA!D116</f>
        <v/>
      </c>
      <c r="E116">
        <f>INPUT_CARTEIRA!E116</f>
        <v/>
      </c>
      <c r="F116" s="12">
        <f>INPUT_CARTEIRA!F116</f>
        <v/>
      </c>
      <c r="G116" s="23">
        <f>INPUT_CARTEIRA!G116</f>
        <v/>
      </c>
      <c r="H116" s="9">
        <f>INPUT_CARTEIRA!H116</f>
        <v/>
      </c>
      <c r="I116">
        <f>INPUT_CARTEIRA!I116</f>
        <v/>
      </c>
      <c r="J116" s="12">
        <f>INPUT_CARTEIRA!J116</f>
        <v/>
      </c>
      <c r="K116" s="10">
        <f>INPUT_CARTEIRA!K116</f>
        <v/>
      </c>
      <c r="L116">
        <f>INPUT_CARTEIRA!L116</f>
        <v/>
      </c>
      <c r="M116">
        <f>IF($H116=0,"0",IF($H116&lt;=30,"1-30",IF($H116&lt;=60,"31-60",IF($H116&lt;=90,"61-90",IF($H116&lt;=180,"91-180","&gt;180")))))</f>
        <v/>
      </c>
      <c r="N116" s="10">
        <f>VLOOKUP($H116,REGUA_PDD!$A$4:$B$9,2,TRUE)</f>
        <v/>
      </c>
      <c r="O116" s="10">
        <f>INDEX(EFEITO_VAGAO!$F$4:$F$27, MATCH($C116, EFEITO_VAGAO!$A$4:$A$27, 0))</f>
        <v/>
      </c>
      <c r="P116" s="10">
        <f>IF(PARAMETROS!$B$5="SIM",MAX($N116,$O116),$N116)</f>
        <v/>
      </c>
      <c r="Q116" s="12">
        <f>$F116*$P116</f>
        <v/>
      </c>
      <c r="R116">
        <f>$H116&gt;=PARAMETROS!$B$3</f>
        <v/>
      </c>
    </row>
    <row r="117">
      <c r="A117" s="23">
        <f>INPUT_CARTEIRA!A117</f>
        <v/>
      </c>
      <c r="B117" s="14">
        <f>INPUT_CARTEIRA!B117</f>
        <v/>
      </c>
      <c r="C117" s="14">
        <f>INPUT_CARTEIRA!C117</f>
        <v/>
      </c>
      <c r="D117">
        <f>INPUT_CARTEIRA!D117</f>
        <v/>
      </c>
      <c r="E117">
        <f>INPUT_CARTEIRA!E117</f>
        <v/>
      </c>
      <c r="F117" s="12">
        <f>INPUT_CARTEIRA!F117</f>
        <v/>
      </c>
      <c r="G117" s="23">
        <f>INPUT_CARTEIRA!G117</f>
        <v/>
      </c>
      <c r="H117" s="9">
        <f>INPUT_CARTEIRA!H117</f>
        <v/>
      </c>
      <c r="I117">
        <f>INPUT_CARTEIRA!I117</f>
        <v/>
      </c>
      <c r="J117" s="12">
        <f>INPUT_CARTEIRA!J117</f>
        <v/>
      </c>
      <c r="K117" s="10">
        <f>INPUT_CARTEIRA!K117</f>
        <v/>
      </c>
      <c r="L117">
        <f>INPUT_CARTEIRA!L117</f>
        <v/>
      </c>
      <c r="M117">
        <f>IF($H117=0,"0",IF($H117&lt;=30,"1-30",IF($H117&lt;=60,"31-60",IF($H117&lt;=90,"61-90",IF($H117&lt;=180,"91-180","&gt;180")))))</f>
        <v/>
      </c>
      <c r="N117" s="10">
        <f>VLOOKUP($H117,REGUA_PDD!$A$4:$B$9,2,TRUE)</f>
        <v/>
      </c>
      <c r="O117" s="10">
        <f>INDEX(EFEITO_VAGAO!$F$4:$F$27, MATCH($C117, EFEITO_VAGAO!$A$4:$A$27, 0))</f>
        <v/>
      </c>
      <c r="P117" s="10">
        <f>IF(PARAMETROS!$B$5="SIM",MAX($N117,$O117),$N117)</f>
        <v/>
      </c>
      <c r="Q117" s="12">
        <f>$F117*$P117</f>
        <v/>
      </c>
      <c r="R117">
        <f>$H117&gt;=PARAMETROS!$B$3</f>
        <v/>
      </c>
    </row>
    <row r="118">
      <c r="A118" s="23">
        <f>INPUT_CARTEIRA!A118</f>
        <v/>
      </c>
      <c r="B118" s="14">
        <f>INPUT_CARTEIRA!B118</f>
        <v/>
      </c>
      <c r="C118" s="14">
        <f>INPUT_CARTEIRA!C118</f>
        <v/>
      </c>
      <c r="D118">
        <f>INPUT_CARTEIRA!D118</f>
        <v/>
      </c>
      <c r="E118">
        <f>INPUT_CARTEIRA!E118</f>
        <v/>
      </c>
      <c r="F118" s="12">
        <f>INPUT_CARTEIRA!F118</f>
        <v/>
      </c>
      <c r="G118" s="23">
        <f>INPUT_CARTEIRA!G118</f>
        <v/>
      </c>
      <c r="H118" s="9">
        <f>INPUT_CARTEIRA!H118</f>
        <v/>
      </c>
      <c r="I118">
        <f>INPUT_CARTEIRA!I118</f>
        <v/>
      </c>
      <c r="J118" s="12">
        <f>INPUT_CARTEIRA!J118</f>
        <v/>
      </c>
      <c r="K118" s="10">
        <f>INPUT_CARTEIRA!K118</f>
        <v/>
      </c>
      <c r="L118">
        <f>INPUT_CARTEIRA!L118</f>
        <v/>
      </c>
      <c r="M118">
        <f>IF($H118=0,"0",IF($H118&lt;=30,"1-30",IF($H118&lt;=60,"31-60",IF($H118&lt;=90,"61-90",IF($H118&lt;=180,"91-180","&gt;180")))))</f>
        <v/>
      </c>
      <c r="N118" s="10">
        <f>VLOOKUP($H118,REGUA_PDD!$A$4:$B$9,2,TRUE)</f>
        <v/>
      </c>
      <c r="O118" s="10">
        <f>INDEX(EFEITO_VAGAO!$F$4:$F$27, MATCH($C118, EFEITO_VAGAO!$A$4:$A$27, 0))</f>
        <v/>
      </c>
      <c r="P118" s="10">
        <f>IF(PARAMETROS!$B$5="SIM",MAX($N118,$O118),$N118)</f>
        <v/>
      </c>
      <c r="Q118" s="12">
        <f>$F118*$P118</f>
        <v/>
      </c>
      <c r="R118">
        <f>$H118&gt;=PARAMETROS!$B$3</f>
        <v/>
      </c>
    </row>
    <row r="119">
      <c r="A119" s="23">
        <f>INPUT_CARTEIRA!A119</f>
        <v/>
      </c>
      <c r="B119" s="14">
        <f>INPUT_CARTEIRA!B119</f>
        <v/>
      </c>
      <c r="C119" s="14">
        <f>INPUT_CARTEIRA!C119</f>
        <v/>
      </c>
      <c r="D119">
        <f>INPUT_CARTEIRA!D119</f>
        <v/>
      </c>
      <c r="E119">
        <f>INPUT_CARTEIRA!E119</f>
        <v/>
      </c>
      <c r="F119" s="12">
        <f>INPUT_CARTEIRA!F119</f>
        <v/>
      </c>
      <c r="G119" s="23">
        <f>INPUT_CARTEIRA!G119</f>
        <v/>
      </c>
      <c r="H119" s="9">
        <f>INPUT_CARTEIRA!H119</f>
        <v/>
      </c>
      <c r="I119">
        <f>INPUT_CARTEIRA!I119</f>
        <v/>
      </c>
      <c r="J119" s="12">
        <f>INPUT_CARTEIRA!J119</f>
        <v/>
      </c>
      <c r="K119" s="10">
        <f>INPUT_CARTEIRA!K119</f>
        <v/>
      </c>
      <c r="L119">
        <f>INPUT_CARTEIRA!L119</f>
        <v/>
      </c>
      <c r="M119">
        <f>IF($H119=0,"0",IF($H119&lt;=30,"1-30",IF($H119&lt;=60,"31-60",IF($H119&lt;=90,"61-90",IF($H119&lt;=180,"91-180","&gt;180")))))</f>
        <v/>
      </c>
      <c r="N119" s="10">
        <f>VLOOKUP($H119,REGUA_PDD!$A$4:$B$9,2,TRUE)</f>
        <v/>
      </c>
      <c r="O119" s="10">
        <f>INDEX(EFEITO_VAGAO!$F$4:$F$27, MATCH($C119, EFEITO_VAGAO!$A$4:$A$27, 0))</f>
        <v/>
      </c>
      <c r="P119" s="10">
        <f>IF(PARAMETROS!$B$5="SIM",MAX($N119,$O119),$N119)</f>
        <v/>
      </c>
      <c r="Q119" s="12">
        <f>$F119*$P119</f>
        <v/>
      </c>
      <c r="R119">
        <f>$H119&gt;=PARAMETROS!$B$3</f>
        <v/>
      </c>
    </row>
    <row r="120">
      <c r="A120" s="23">
        <f>INPUT_CARTEIRA!A120</f>
        <v/>
      </c>
      <c r="B120" s="14">
        <f>INPUT_CARTEIRA!B120</f>
        <v/>
      </c>
      <c r="C120" s="14">
        <f>INPUT_CARTEIRA!C120</f>
        <v/>
      </c>
      <c r="D120">
        <f>INPUT_CARTEIRA!D120</f>
        <v/>
      </c>
      <c r="E120">
        <f>INPUT_CARTEIRA!E120</f>
        <v/>
      </c>
      <c r="F120" s="12">
        <f>INPUT_CARTEIRA!F120</f>
        <v/>
      </c>
      <c r="G120" s="23">
        <f>INPUT_CARTEIRA!G120</f>
        <v/>
      </c>
      <c r="H120" s="9">
        <f>INPUT_CARTEIRA!H120</f>
        <v/>
      </c>
      <c r="I120">
        <f>INPUT_CARTEIRA!I120</f>
        <v/>
      </c>
      <c r="J120" s="12">
        <f>INPUT_CARTEIRA!J120</f>
        <v/>
      </c>
      <c r="K120" s="10">
        <f>INPUT_CARTEIRA!K120</f>
        <v/>
      </c>
      <c r="L120">
        <f>INPUT_CARTEIRA!L120</f>
        <v/>
      </c>
      <c r="M120">
        <f>IF($H120=0,"0",IF($H120&lt;=30,"1-30",IF($H120&lt;=60,"31-60",IF($H120&lt;=90,"61-90",IF($H120&lt;=180,"91-180","&gt;180")))))</f>
        <v/>
      </c>
      <c r="N120" s="10">
        <f>VLOOKUP($H120,REGUA_PDD!$A$4:$B$9,2,TRUE)</f>
        <v/>
      </c>
      <c r="O120" s="10">
        <f>INDEX(EFEITO_VAGAO!$F$4:$F$27, MATCH($C120, EFEITO_VAGAO!$A$4:$A$27, 0))</f>
        <v/>
      </c>
      <c r="P120" s="10">
        <f>IF(PARAMETROS!$B$5="SIM",MAX($N120,$O120),$N120)</f>
        <v/>
      </c>
      <c r="Q120" s="12">
        <f>$F120*$P120</f>
        <v/>
      </c>
      <c r="R120">
        <f>$H120&gt;=PARAMETROS!$B$3</f>
        <v/>
      </c>
    </row>
    <row r="121">
      <c r="A121" s="23">
        <f>INPUT_CARTEIRA!A121</f>
        <v/>
      </c>
      <c r="B121" s="14">
        <f>INPUT_CARTEIRA!B121</f>
        <v/>
      </c>
      <c r="C121" s="14">
        <f>INPUT_CARTEIRA!C121</f>
        <v/>
      </c>
      <c r="D121">
        <f>INPUT_CARTEIRA!D121</f>
        <v/>
      </c>
      <c r="E121">
        <f>INPUT_CARTEIRA!E121</f>
        <v/>
      </c>
      <c r="F121" s="12">
        <f>INPUT_CARTEIRA!F121</f>
        <v/>
      </c>
      <c r="G121" s="23">
        <f>INPUT_CARTEIRA!G121</f>
        <v/>
      </c>
      <c r="H121" s="9">
        <f>INPUT_CARTEIRA!H121</f>
        <v/>
      </c>
      <c r="I121">
        <f>INPUT_CARTEIRA!I121</f>
        <v/>
      </c>
      <c r="J121" s="12">
        <f>INPUT_CARTEIRA!J121</f>
        <v/>
      </c>
      <c r="K121" s="10">
        <f>INPUT_CARTEIRA!K121</f>
        <v/>
      </c>
      <c r="L121">
        <f>INPUT_CARTEIRA!L121</f>
        <v/>
      </c>
      <c r="M121">
        <f>IF($H121=0,"0",IF($H121&lt;=30,"1-30",IF($H121&lt;=60,"31-60",IF($H121&lt;=90,"61-90",IF($H121&lt;=180,"91-180","&gt;180")))))</f>
        <v/>
      </c>
      <c r="N121" s="10">
        <f>VLOOKUP($H121,REGUA_PDD!$A$4:$B$9,2,TRUE)</f>
        <v/>
      </c>
      <c r="O121" s="10">
        <f>INDEX(EFEITO_VAGAO!$F$4:$F$27, MATCH($C121, EFEITO_VAGAO!$A$4:$A$27, 0))</f>
        <v/>
      </c>
      <c r="P121" s="10">
        <f>IF(PARAMETROS!$B$5="SIM",MAX($N121,$O121),$N121)</f>
        <v/>
      </c>
      <c r="Q121" s="12">
        <f>$F121*$P121</f>
        <v/>
      </c>
      <c r="R121">
        <f>$H121&gt;=PARAMETROS!$B$3</f>
        <v/>
      </c>
    </row>
    <row r="122">
      <c r="A122" s="23">
        <f>INPUT_CARTEIRA!A122</f>
        <v/>
      </c>
      <c r="B122" s="14">
        <f>INPUT_CARTEIRA!B122</f>
        <v/>
      </c>
      <c r="C122" s="14">
        <f>INPUT_CARTEIRA!C122</f>
        <v/>
      </c>
      <c r="D122">
        <f>INPUT_CARTEIRA!D122</f>
        <v/>
      </c>
      <c r="E122">
        <f>INPUT_CARTEIRA!E122</f>
        <v/>
      </c>
      <c r="F122" s="12">
        <f>INPUT_CARTEIRA!F122</f>
        <v/>
      </c>
      <c r="G122" s="23">
        <f>INPUT_CARTEIRA!G122</f>
        <v/>
      </c>
      <c r="H122" s="9">
        <f>INPUT_CARTEIRA!H122</f>
        <v/>
      </c>
      <c r="I122">
        <f>INPUT_CARTEIRA!I122</f>
        <v/>
      </c>
      <c r="J122" s="12">
        <f>INPUT_CARTEIRA!J122</f>
        <v/>
      </c>
      <c r="K122" s="10">
        <f>INPUT_CARTEIRA!K122</f>
        <v/>
      </c>
      <c r="L122">
        <f>INPUT_CARTEIRA!L122</f>
        <v/>
      </c>
      <c r="M122">
        <f>IF($H122=0,"0",IF($H122&lt;=30,"1-30",IF($H122&lt;=60,"31-60",IF($H122&lt;=90,"61-90",IF($H122&lt;=180,"91-180","&gt;180")))))</f>
        <v/>
      </c>
      <c r="N122" s="10">
        <f>VLOOKUP($H122,REGUA_PDD!$A$4:$B$9,2,TRUE)</f>
        <v/>
      </c>
      <c r="O122" s="10">
        <f>INDEX(EFEITO_VAGAO!$F$4:$F$27, MATCH($C122, EFEITO_VAGAO!$A$4:$A$27, 0))</f>
        <v/>
      </c>
      <c r="P122" s="10">
        <f>IF(PARAMETROS!$B$5="SIM",MAX($N122,$O122),$N122)</f>
        <v/>
      </c>
      <c r="Q122" s="12">
        <f>$F122*$P122</f>
        <v/>
      </c>
      <c r="R122">
        <f>$H122&gt;=PARAMETROS!$B$3</f>
        <v/>
      </c>
    </row>
    <row r="123">
      <c r="A123" s="23">
        <f>INPUT_CARTEIRA!A123</f>
        <v/>
      </c>
      <c r="B123" s="14">
        <f>INPUT_CARTEIRA!B123</f>
        <v/>
      </c>
      <c r="C123" s="14">
        <f>INPUT_CARTEIRA!C123</f>
        <v/>
      </c>
      <c r="D123">
        <f>INPUT_CARTEIRA!D123</f>
        <v/>
      </c>
      <c r="E123">
        <f>INPUT_CARTEIRA!E123</f>
        <v/>
      </c>
      <c r="F123" s="12">
        <f>INPUT_CARTEIRA!F123</f>
        <v/>
      </c>
      <c r="G123" s="23">
        <f>INPUT_CARTEIRA!G123</f>
        <v/>
      </c>
      <c r="H123" s="9">
        <f>INPUT_CARTEIRA!H123</f>
        <v/>
      </c>
      <c r="I123">
        <f>INPUT_CARTEIRA!I123</f>
        <v/>
      </c>
      <c r="J123" s="12">
        <f>INPUT_CARTEIRA!J123</f>
        <v/>
      </c>
      <c r="K123" s="10">
        <f>INPUT_CARTEIRA!K123</f>
        <v/>
      </c>
      <c r="L123">
        <f>INPUT_CARTEIRA!L123</f>
        <v/>
      </c>
      <c r="M123">
        <f>IF($H123=0,"0",IF($H123&lt;=30,"1-30",IF($H123&lt;=60,"31-60",IF($H123&lt;=90,"61-90",IF($H123&lt;=180,"91-180","&gt;180")))))</f>
        <v/>
      </c>
      <c r="N123" s="10">
        <f>VLOOKUP($H123,REGUA_PDD!$A$4:$B$9,2,TRUE)</f>
        <v/>
      </c>
      <c r="O123" s="10">
        <f>INDEX(EFEITO_VAGAO!$F$4:$F$27, MATCH($C123, EFEITO_VAGAO!$A$4:$A$27, 0))</f>
        <v/>
      </c>
      <c r="P123" s="10">
        <f>IF(PARAMETROS!$B$5="SIM",MAX($N123,$O123),$N123)</f>
        <v/>
      </c>
      <c r="Q123" s="12">
        <f>$F123*$P123</f>
        <v/>
      </c>
      <c r="R123">
        <f>$H123&gt;=PARAMETROS!$B$3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4" customWidth="1" min="4" max="4"/>
    <col width="2" customWidth="1" min="6" max="6"/>
  </cols>
  <sheetData>
    <row r="1">
      <c r="A1" s="3" t="inlineStr">
        <is>
          <t>KPIs — Qualidade de Carteira (PDD, Inadimplência, Coverage)</t>
        </is>
      </c>
    </row>
    <row r="3">
      <c r="A3" s="15" t="inlineStr">
        <is>
          <t>Carteira total (R$)</t>
        </is>
      </c>
      <c r="B3" s="16">
        <f>SUM(CALC_PDD!$F$4:$F$123)</f>
        <v/>
      </c>
    </row>
    <row r="4">
      <c r="A4" s="15" t="inlineStr">
        <is>
          <t>PDD total (R$)</t>
        </is>
      </c>
      <c r="B4" s="16">
        <f>SUM(CALC_PDD!$Q$4:$Q$123)</f>
        <v/>
      </c>
    </row>
    <row r="5">
      <c r="A5" s="15" t="inlineStr">
        <is>
          <t>PDD% (PDD / Carteira)</t>
        </is>
      </c>
      <c r="B5" s="17">
        <f>IFERROR($B$4/$B$3,0)</f>
        <v/>
      </c>
    </row>
    <row r="6">
      <c r="A6" s="15" t="inlineStr">
        <is>
          <t>Créditos inadimplentes (&gt;=corte) (R$)</t>
        </is>
      </c>
      <c r="B6" s="16">
        <f>SUMIFS(CALC_PDD!$F$4:$F$123,CALC_PDD!$H$4:$H$123,"&gt;="&amp;PARAMETROS!$B$3)</f>
        <v/>
      </c>
    </row>
    <row r="7">
      <c r="A7" s="15" t="inlineStr">
        <is>
          <t>Coverage (PDD / Inadimplentes)</t>
        </is>
      </c>
      <c r="B7" s="17">
        <f>IFERROR($B$4/$B$6,0)</f>
        <v/>
      </c>
    </row>
    <row r="9">
      <c r="A9" s="18" t="inlineStr">
        <is>
          <t>Distribuição por faixa de atraso (Aging)</t>
        </is>
      </c>
    </row>
    <row r="10">
      <c r="A10" s="8" t="inlineStr">
        <is>
          <t>Faixa</t>
        </is>
      </c>
      <c r="B10" s="8" t="inlineStr">
        <is>
          <t>Saldo (R$)</t>
        </is>
      </c>
      <c r="C10" s="8" t="inlineStr">
        <is>
          <t>PDD (R$)</t>
        </is>
      </c>
      <c r="D10" s="8" t="inlineStr">
        <is>
          <t>PDD% efetivo</t>
        </is>
      </c>
    </row>
    <row r="11">
      <c r="A11" t="inlineStr">
        <is>
          <t>0</t>
        </is>
      </c>
      <c r="B11" s="12">
        <f>SUMIFS(CALC_PDD!$F$4:$F$123,CALC_PDD!$H$4:$H$123,"=0")</f>
        <v/>
      </c>
      <c r="C11" s="12">
        <f>SUMIFS(CALC_PDD!$Q$4:$Q$123,CALC_PDD!$H$4:$H$123,"=0")</f>
        <v/>
      </c>
      <c r="D11" s="10">
        <f>IFERROR($C11/$B11,0)</f>
        <v/>
      </c>
    </row>
    <row r="12">
      <c r="A12" t="inlineStr">
        <is>
          <t>1-30</t>
        </is>
      </c>
      <c r="B12" s="12">
        <f>SUMIFS(CALC_PDD!$F$4:$F$123,CALC_PDD!$H$4:$H$123,"&gt;=1",CALC_PDD!$H$4:$H$123,"&lt;=30")</f>
        <v/>
      </c>
      <c r="C12" s="12">
        <f>SUMIFS(CALC_PDD!$Q$4:$Q$123,CALC_PDD!$H$4:$H$123,"&gt;=1",CALC_PDD!$H$4:$H$123,"&lt;=30")</f>
        <v/>
      </c>
      <c r="D12" s="10">
        <f>IFERROR($C12/$B12,0)</f>
        <v/>
      </c>
    </row>
    <row r="13">
      <c r="A13" t="inlineStr">
        <is>
          <t>31-60</t>
        </is>
      </c>
      <c r="B13" s="12">
        <f>SUMIFS(CALC_PDD!$F$4:$F$123,CALC_PDD!$H$4:$H$123,"&gt;=31",CALC_PDD!$H$4:$H$123,"&lt;=60")</f>
        <v/>
      </c>
      <c r="C13" s="12">
        <f>SUMIFS(CALC_PDD!$Q$4:$Q$123,CALC_PDD!$H$4:$H$123,"&gt;=31",CALC_PDD!$H$4:$H$123,"&lt;=60")</f>
        <v/>
      </c>
      <c r="D13" s="10">
        <f>IFERROR($C13/$B13,0)</f>
        <v/>
      </c>
    </row>
    <row r="14">
      <c r="A14" t="inlineStr">
        <is>
          <t>61-90</t>
        </is>
      </c>
      <c r="B14" s="12">
        <f>SUMIFS(CALC_PDD!$F$4:$F$123,CALC_PDD!$H$4:$H$123,"&gt;=61",CALC_PDD!$H$4:$H$123,"&lt;=90")</f>
        <v/>
      </c>
      <c r="C14" s="12">
        <f>SUMIFS(CALC_PDD!$Q$4:$Q$123,CALC_PDD!$H$4:$H$123,"&gt;=61",CALC_PDD!$H$4:$H$123,"&lt;=90")</f>
        <v/>
      </c>
      <c r="D14" s="10">
        <f>IFERROR($C14/$B14,0)</f>
        <v/>
      </c>
    </row>
    <row r="15">
      <c r="A15" t="inlineStr">
        <is>
          <t>91-180</t>
        </is>
      </c>
      <c r="B15" s="12">
        <f>SUMIFS(CALC_PDD!$F$4:$F$123,CALC_PDD!$H$4:$H$123,"&gt;=91",CALC_PDD!$H$4:$H$123,"&lt;=180")</f>
        <v/>
      </c>
      <c r="C15" s="12">
        <f>SUMIFS(CALC_PDD!$Q$4:$Q$123,CALC_PDD!$H$4:$H$123,"&gt;=91",CALC_PDD!$H$4:$H$123,"&lt;=180")</f>
        <v/>
      </c>
      <c r="D15" s="10">
        <f>IFERROR($C15/$B15,0)</f>
        <v/>
      </c>
    </row>
    <row r="16">
      <c r="A16" t="inlineStr">
        <is>
          <t>&gt;180</t>
        </is>
      </c>
      <c r="B16" s="12">
        <f>SUMIFS(CALC_PDD!$F$4:$F$123,CALC_PDD!$H$4:$H$123,"&gt;=181")</f>
        <v/>
      </c>
      <c r="C16" s="12">
        <f>SUMIFS(CALC_PDD!$Q$4:$Q$123,CALC_PDD!$H$4:$H$123,"&gt;=181")</f>
        <v/>
      </c>
      <c r="D16" s="10">
        <f>IFERROR($C16/$B16,0)</f>
        <v/>
      </c>
    </row>
    <row r="17">
      <c r="A17" s="18" t="inlineStr">
        <is>
          <t>Total</t>
        </is>
      </c>
      <c r="B17" s="19">
        <f>SUM(B11:B16)</f>
        <v/>
      </c>
      <c r="C17" s="19">
        <f>SUM(C11:C16)</f>
        <v/>
      </c>
      <c r="D17" s="20">
        <f>IFERROR(C17/B17,0)</f>
        <v/>
      </c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70" customWidth="1" min="4" max="4"/>
  </cols>
  <sheetData>
    <row r="1">
      <c r="A1" s="3" t="inlineStr">
        <is>
          <t>Subordinação — Impacto do PDD no PL e Gatilho</t>
        </is>
      </c>
    </row>
    <row r="3">
      <c r="A3" s="15" t="inlineStr">
        <is>
          <t>PL bruto (aprox. carteira total)</t>
        </is>
      </c>
      <c r="B3" s="16">
        <f>KPIs!$B$3</f>
        <v/>
      </c>
    </row>
    <row r="4">
      <c r="A4" s="15" t="inlineStr">
        <is>
          <t>(-) PDD total</t>
        </is>
      </c>
      <c r="B4" s="16">
        <f>KPIs!$B$4</f>
        <v/>
      </c>
    </row>
    <row r="5">
      <c r="A5" s="15" t="inlineStr">
        <is>
          <t>PL líquido (pós-PDD)</t>
        </is>
      </c>
      <c r="B5" s="16">
        <f>$B$3-$B$4</f>
        <v/>
      </c>
    </row>
    <row r="7">
      <c r="A7" s="15" t="inlineStr">
        <is>
          <t>Cota Sênior</t>
        </is>
      </c>
      <c r="B7" s="16">
        <f>PARAMETROS!$B$6</f>
        <v/>
      </c>
    </row>
    <row r="8">
      <c r="A8" s="15" t="inlineStr">
        <is>
          <t>Cota Subordinada (resíduo)</t>
        </is>
      </c>
      <c r="B8" s="16">
        <f>$B$5-$B$7</f>
        <v/>
      </c>
    </row>
    <row r="9">
      <c r="A9" s="15" t="inlineStr">
        <is>
          <t>Subordinação % (Sub / PL)</t>
        </is>
      </c>
      <c r="B9" s="17">
        <f>IFERROR($B$8/$B$5,0)</f>
        <v/>
      </c>
    </row>
    <row r="10">
      <c r="A10" s="15" t="inlineStr">
        <is>
          <t>Subordinação mínima</t>
        </is>
      </c>
      <c r="B10" s="17">
        <f>PARAMETROS!$B$7</f>
        <v/>
      </c>
    </row>
    <row r="11">
      <c r="A11" s="15" t="inlineStr">
        <is>
          <t>Status</t>
        </is>
      </c>
      <c r="B11" s="25">
        <f>IF($B$9&gt;=$B$10,"ENQUADRADO","DESENQUADRADO")</f>
        <v/>
      </c>
      <c r="D11" s="7" t="inlineStr">
        <is>
          <t>Obs.: Se Subordinada &lt; 0, a perda já está consumindo a Sênior (modelo simplificado).</t>
        </is>
      </c>
    </row>
  </sheetData>
  <conditionalFormatting sqref="B11">
    <cfRule type="expression" priority="1" dxfId="0">
      <formula>$B$11="ENQUADRADO"</formula>
    </cfRule>
    <cfRule type="expression" priority="2" dxfId="1">
      <formula>$B$11="DESENQUADRADO"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95" customWidth="1" min="2" max="2"/>
  </cols>
  <sheetData>
    <row r="1">
      <c r="A1" s="3" t="inlineStr">
        <is>
          <t>Fontes públicas e referências usadas (URLs)</t>
        </is>
      </c>
    </row>
    <row r="3">
      <c r="A3" s="8" t="inlineStr">
        <is>
          <t>Descrição</t>
        </is>
      </c>
      <c r="B3" s="8" t="inlineStr">
        <is>
          <t>URL</t>
        </is>
      </c>
    </row>
    <row r="4">
      <c r="A4" t="inlineStr">
        <is>
          <t>ANBIMA — Guia de Metodologia de PDD (Direitos Creditórios) (PDF)</t>
        </is>
      </c>
      <c r="B4" s="22" t="inlineStr">
        <is>
          <t>https://www.anbima.com.br/data/files/65/45/BA/DD/73786910FCADB769B82BA2A8/Guia%20ANBIMA%20para%20Metodologia%20de%20PDD%20_Provisao%20de%20Devedores%20Duvidosos_%20de%20Direitos%20Creditorios.pdf</t>
        </is>
      </c>
    </row>
    <row r="5">
      <c r="A5" t="inlineStr">
        <is>
          <t>FIDCs.com.br — Indicador PDD (PDD% e Coverage)</t>
        </is>
      </c>
      <c r="B5" s="22" t="inlineStr">
        <is>
          <t>https://fidcs.com.br/indicadores-fidc/pdd</t>
        </is>
      </c>
    </row>
    <row r="6">
      <c r="A6" t="inlineStr">
        <is>
          <t>BCB Dados Abertos — Taxa de inadimplência PJ (dataset SGS 26203)</t>
        </is>
      </c>
      <c r="B6" s="22" t="inlineStr">
        <is>
          <t>https://dadosabertos.bcb.gov.br/dataset/26203-taxa-de-inadimplencia-de-pessoa-juridica---pequeno-porte</t>
        </is>
      </c>
    </row>
    <row r="7">
      <c r="A7" t="inlineStr">
        <is>
          <t>Serasa Experian (release empresas inadimplentes, Jan/2026)</t>
        </is>
      </c>
      <c r="B7" s="22" t="inlineStr">
        <is>
          <t>https://www.serasaexperian.com.br/sala-de-imprensa/indicadores/novo-recorde-inadimplencia-alcanca-89-milhoes-de-empresas-brasileiras-em-novembro-com-rdollar-210-bilhoes-em-dividas-aponta-serasa-experian/</t>
        </is>
      </c>
    </row>
    <row r="8">
      <c r="A8" t="inlineStr">
        <is>
          <t>Serasa — Mapa da Inadimplência (blog; série mensal)</t>
        </is>
      </c>
      <c r="B8" s="22" t="inlineStr">
        <is>
          <t>https://www.serasa.com.br/limpa-nome-online/blog/mapa-da-inadimplencia-e-renogociacao-de-dividas-no-brasil/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2026-02-27T15:08:13Z</dcterms:created>
  <dcterms:modified xmlns:dcterms="http://purl.org/dc/terms/" xmlns:xsi="http://www.w3.org/2001/XMLSchema-instance" xsi:type="dcterms:W3CDTF">2026-02-27T15:09:21Z</dcterms:modified>
</cp:coreProperties>
</file>