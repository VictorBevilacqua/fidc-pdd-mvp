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f9a8dc1ff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S" sheetId="1" r:id="Re3a1b281629f4e70"/>
    <x:sheet xmlns:r="http://schemas.openxmlformats.org/officeDocument/2006/relationships" name="SERIES_MENSAL" sheetId="2" r:id="R589b88410797423f"/>
    <x:sheet xmlns:r="http://schemas.openxmlformats.org/officeDocument/2006/relationships" name="DASHBOARD" sheetId="3" r:id="Ra3cc64e846c040e2"/>
    <x:sheet xmlns:r="http://schemas.openxmlformats.org/officeDocument/2006/relationships" name="MACRO_REFERENCIAS" sheetId="4" r:id="Rf002ccb5e2304f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%"/>
    <x:numFmt numFmtId="165" formatCode="yyyy-mm-dd"/>
    <x:numFmt numFmtId="166" formatCode="dd/mm/yyyy"/>
    <x:numFmt numFmtId="167" formatCode="R$ #,##0.00"/>
  </x:numFmts>
  <x:fonts count="7">
    <x:font>
      <x:sz val="11"/>
      <x:color theme="1"/>
      <x:name val="Calibri"/>
      <x:family val="2"/>
      <x:scheme val="minor"/>
    </x:font>
    <x:font>
      <x:b/>
      <x:sz val="14"/>
      <x:color rgb="001F4E79"/>
    </x:font>
    <x:font>
      <x:color rgb="000000FF"/>
    </x:font>
    <x:font>
      <x:b/>
      <x:color rgb="00FFFFFF"/>
    </x:font>
    <x:font>
      <x:b/>
      <x:sz val="16"/>
      <x:color rgb="001F4E79"/>
    </x:font>
    <x:font>
      <x:b/>
    </x:font>
    <x:font>
      <x:u val="single"/>
      <x:color rgb="001F4E79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546E7A"/>
      </x:patternFill>
    </x:fill>
  </x:fills>
  <x:borders count="2">
    <x:border>
      <x:left/>
      <x:right/>
      <x:top/>
      <x:bottom/>
      <x:diagonal/>
    </x:border>
    <x:border>
      <x:left style="thin">
        <x:color rgb="00D0D0D0"/>
      </x:left>
      <x:right style="thin">
        <x:color rgb="00D0D0D0"/>
      </x:right>
      <x:top style="thin">
        <x:color rgb="00D0D0D0"/>
      </x:top>
      <x:bottom style="thin">
        <x:color rgb="00D0D0D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/>
    <x:xf numFmtId="164" fontId="2" fillId="0" borderId="0" xfId="0"/>
    <x:xf numFmtId="1" fontId="2" fillId="0" borderId="0" xfId="0"/>
    <x:xf numFmtId="0" fontId="3" fillId="2" borderId="1" xfId="0" applyAlignment="1">
      <x:alignment horizontal="center" vertical="center" wrapText="1"/>
    </x:xf>
    <x:xf numFmtId="166" fontId="0" fillId="0" borderId="0" xfId="0"/>
    <x:xf numFmtId="167" fontId="0" fillId="0" borderId="0" xfId="0"/>
    <x:xf numFmtId="164" fontId="0" fillId="0" borderId="0" xfId="0"/>
    <x:xf numFmtId="0" fontId="4" fillId="0" borderId="0" xfId="0"/>
    <x:xf numFmtId="0" fontId="5" fillId="0" borderId="0" xfId="0"/>
    <x:xf numFmtId="0" fontId="5" fillId="0" borderId="0" xfId="0" applyAlignment="1">
      <x:alignment horizontal="left" vertical="center" wrapText="1"/>
    </x:xf>
    <x:xf numFmtId="167" fontId="0" fillId="0" borderId="0" xfId="0" applyAlignment="1">
      <x:alignment horizontal="right" vertical="center" wrapText="1"/>
    </x:xf>
    <x:xf numFmtId="164" fontId="0" fillId="0" borderId="0" xfId="0" applyAlignment="1">
      <x:alignment horizontal="right" vertical="center" wrapText="1"/>
    </x:xf>
    <x:xf numFmtId="0" fontId="3" fillId="3" borderId="0" xfId="0" applyAlignment="1">
      <x:alignment horizontal="center" vertical="center" wrapText="1"/>
    </x:xf>
    <x:xf numFmtId="0" fontId="6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4a4a4e26d24de8" /><Relationship Type="http://schemas.openxmlformats.org/officeDocument/2006/relationships/theme" Target="/xl/theme/theme1.xml" Id="R7cd6b64f60bc4a04" /><Relationship Type="http://schemas.openxmlformats.org/officeDocument/2006/relationships/sharedStrings" Target="/xl/sharedStrings.xml" Id="R46ceeba4d974408b" /><Relationship Type="http://schemas.openxmlformats.org/officeDocument/2006/relationships/worksheet" Target="/xl/worksheets/sheet1.xml" Id="Re3a1b281629f4e70" /><Relationship Type="http://schemas.openxmlformats.org/officeDocument/2006/relationships/worksheet" Target="/xl/worksheets/sheet2.xml" Id="R589b88410797423f" /><Relationship Type="http://schemas.openxmlformats.org/officeDocument/2006/relationships/worksheet" Target="/xl/worksheets/sheet3.xml" Id="Ra3cc64e846c040e2" /><Relationship Type="http://schemas.openxmlformats.org/officeDocument/2006/relationships/worksheet" Target="/xl/worksheets/sheet4.xml" Id="Rf002ccb5e2304f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a885f89395410a" /><Relationship Type="http://schemas.openxmlformats.org/officeDocument/2006/relationships/chart" Target="/xl/drawings/charts/chart2.xml" Id="Rc8ff178ca0fd41b1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PDD% vs Inad% (&gt;=90d) vs Subord%</a:t>
            </a:r>
          </a:p>
        </c:rich>
      </c:tx>
      <c:overlay val="0"/>
      <c: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'SERIES_MENSAL'!E3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/>
          </c:spPr>
          <c:marker>
            <c:symbol val="none"/>
          </c:marker>
          <c:cat>
            <c:strRef>
              <c:f>'SERIES_MENSAL'!$A$4:$A$28</c:f>
              <c:strCache>
                <c:ptCount val="0"/>
              </c:strCache>
            </c:strRef>
          </c:cat>
          <c:val>
            <c:numRef>
              <c:f>'SERIES_MENSAL'!$E$4:$E$28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strRef>
              <c:f>'SERIES_MENSAL'!N3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/>
          </c:spPr>
          <c:marker>
            <c:symbol val="none"/>
          </c:marker>
          <c:cat>
            <c:strRef>
              <c:f>'SERIES_MENSAL'!$A$4:$A$28</c:f>
              <c:strCache>
                <c:ptCount val="0"/>
              </c:strCache>
            </c:strRef>
          </c:cat>
          <c:val>
            <c:numRef>
              <c:f>'SERIES_MENSAL'!$N$4:$N$28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strRef>
              <c:f>'SERIES_MENSAL'!J3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/>
          </c:spPr>
          <c:marker>
            <c:symbol val="none"/>
          </c:marker>
          <c:cat>
            <c:strRef>
              <c:f>'SERIES_MENSAL'!$A$4:$A$28</c:f>
              <c:strCache>
                <c:ptCount val="0"/>
              </c:strCache>
            </c:strRef>
          </c:cat>
          <c:val>
            <c:numRef>
              <c:f>'SERIES_MENSAL'!$J$4:$J$28</c:f>
              <c:numCache>
                <c:formatCode/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</c:legend>
    <c:plotVisOnly val="1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Coverage (PDD / Inadimplentes)</a:t>
            </a:r>
          </a:p>
        </c:rich>
      </c:tx>
      <c:overlay val="0"/>
      <c: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'SERIES_MENSAL'!F3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/>
          </c:spPr>
          <c:marker>
            <c:symbol val="none"/>
          </c:marker>
          <c:cat>
            <c:strRef>
              <c:f>'SERIES_MENSAL'!$A$4:$A$28</c:f>
              <c:strCache>
                <c:ptCount val="0"/>
              </c:strCache>
            </c:strRef>
          </c:cat>
          <c:val>
            <c:numRef>
              <c:f>'SERIES_MENSAL'!$F$4:$F$28</c:f>
              <c:numCache>
                <c:formatCode/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a885f89395410a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ff178ca0fd41b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Series" displayName="tblSeries" ref="A3:M28" headerRowCount="1">
  <x:autoFilter ref="A3:M28"/>
  <x:tableColumns count="13">
    <x:tableColumn id="1" name="Mês"/>
    <x:tableColumn id="2" name="Carteira (R$)"/>
    <x:tableColumn id="3" name="Inadimplência (&gt;=90d) (R$)"/>
    <x:tableColumn id="4" name="PDD (R$)"/>
    <x:tableColumn id="5" name="PDD%"/>
    <x:tableColumn id="6" name="Coverage"/>
    <x:tableColumn id="7" name="PL Líquido (R$)"/>
    <x:tableColumn id="8" name="Sênior (R$)"/>
    <x:tableColumn id="9" name="Subordinada (R$)"/>
    <x:tableColumn id="10" name="Subord%"/>
    <x:tableColumn id="11" name="Status"/>
    <x:tableColumn id="12" name="Captação líquida (R$)"/>
    <x:tableColumn id="13" name="Rentab cota (%)"/>
  </x:tableColumns>
  <x:tableStyleInfo name="TableStyleMedium9" showRowStripes="1"/>
</x:table>
</file>

<file path=xl/tables/table2.xml><?xml version="1.0" encoding="utf-8"?>
<x:table xmlns:x="http://schemas.openxmlformats.org/spreadsheetml/2006/main" id="2" name="tblMacro" displayName="tblMacro" ref="A3:C6" headerRowCount="1">
  <x:autoFilter ref="A3:C6"/>
  <x:tableColumns count="3">
    <x:tableColumn id="1" name="Fonte"/>
    <x:tableColumn id="2" name="Dado (texto)"/>
    <x:tableColumn id="3" name="URL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06befe3d1045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75df618323d42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99f2921b81540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customWidth="1"/>
    <x:col min="2" max="2" width="18" customWidth="1"/>
  </x:cols>
  <x:sheetData>
    <x:row r="1">
      <x:c r="A1" s="1" t="inlineStr">
        <x:is>
          <x:t xml:space="preserve">Parâmetros</x:t>
        </x:is>
      </x:c>
    </x:row>
    <x:row r="3">
      <x:c r="A3" t="inlineStr">
        <x:is>
          <x:t xml:space="preserve">Subordinação mínima</x:t>
        </x:is>
      </x:c>
      <x:c r="B3" s="2" t="n">
        <x:v>0.15</x:v>
      </x:c>
    </x:row>
    <x:row r="4">
      <x:c r="A4" t="inlineStr">
        <x:is>
          <x:t xml:space="preserve">Corte inadimplência (dias) p/ KPI</x:t>
        </x:is>
      </x:c>
      <x:c r="B4" s="3" t="n">
        <x:v>90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customWidth="1"/>
    <x:col min="2" max="2" width="16" customWidth="1"/>
    <x:col min="3" max="3" width="20" customWidth="1"/>
    <x:col min="4" max="4" width="14" customWidth="1"/>
    <x:col min="5" max="5" width="9" customWidth="1"/>
    <x:col min="6" max="6" width="9" customWidth="1"/>
    <x:col min="7" max="7" width="14" customWidth="1"/>
    <x:col min="8" max="8" width="12" customWidth="1"/>
    <x:col min="9" max="9" width="14" customWidth="1"/>
    <x:col min="10" max="10" width="9" customWidth="1"/>
    <x:col min="11" max="11" width="14" customWidth="1"/>
    <x:col min="12" max="12" width="16" customWidth="1"/>
    <x:col min="13" max="13" width="14" customWidth="1"/>
    <x:col min="14" max="14" width="12" customWidth="1"/>
  </x:cols>
  <x:sheetData>
    <x:row r="1">
      <x:c r="A1" s="1" t="inlineStr">
        <x:is>
          <x:t xml:space="preserve">Série mensal — Indicadores do Fundo (exemplo sintético realista)</x:t>
        </x:is>
      </x:c>
    </x:row>
    <x:row r="3">
      <x:c r="A3" s="4" t="inlineStr">
        <x:is>
          <x:t xml:space="preserve">Mês</x:t>
        </x:is>
      </x:c>
      <x:c r="B3" s="4" t="inlineStr">
        <x:is>
          <x:t xml:space="preserve">Carteira (R$)</x:t>
        </x:is>
      </x:c>
      <x:c r="C3" s="4" t="inlineStr">
        <x:is>
          <x:t xml:space="preserve">Inadimplência (&gt;=90d) (R$)</x:t>
        </x:is>
      </x:c>
      <x:c r="D3" s="4" t="inlineStr">
        <x:is>
          <x:t xml:space="preserve">PDD (R$)</x:t>
        </x:is>
      </x:c>
      <x:c r="E3" s="4" t="inlineStr">
        <x:is>
          <x:t xml:space="preserve">PDD%</x:t>
        </x:is>
      </x:c>
      <x:c r="F3" s="4" t="inlineStr">
        <x:is>
          <x:t xml:space="preserve">Coverage</x:t>
        </x:is>
      </x:c>
      <x:c r="G3" s="4" t="inlineStr">
        <x:is>
          <x:t xml:space="preserve">PL Líquido (R$)</x:t>
        </x:is>
      </x:c>
      <x:c r="H3" s="4" t="inlineStr">
        <x:is>
          <x:t xml:space="preserve">Sênior (R$)</x:t>
        </x:is>
      </x:c>
      <x:c r="I3" s="4" t="inlineStr">
        <x:is>
          <x:t xml:space="preserve">Subordinada (R$)</x:t>
        </x:is>
      </x:c>
      <x:c r="J3" s="4" t="inlineStr">
        <x:is>
          <x:t xml:space="preserve">Subord%</x:t>
        </x:is>
      </x:c>
      <x:c r="K3" s="4" t="inlineStr">
        <x:is>
          <x:t xml:space="preserve">Status</x:t>
        </x:is>
      </x:c>
      <x:c r="L3" s="4" t="inlineStr">
        <x:is>
          <x:t xml:space="preserve">Captação líquida (R$)</x:t>
        </x:is>
      </x:c>
      <x:c r="M3" s="4" t="inlineStr">
        <x:is>
          <x:t xml:space="preserve">Rentab cota (%)</x:t>
        </x:is>
      </x:c>
      <x:c r="N3" s="4" t="inlineStr">
        <x:is>
          <x:t xml:space="preserve">Inad% (&gt;=90d)</x:t>
        </x:is>
      </x:c>
    </x:row>
    <x:row r="4">
      <x:c r="A4" s="5" t="n">
        <x:v>45322</x:v>
      </x:c>
      <x:c r="B4" s="6" t="n">
        <x:v>94215102.72</x:v>
      </x:c>
      <x:c r="C4" s="6" t="n">
        <x:v>1385021.9</x:v>
      </x:c>
      <x:c r="D4" s="6" t="n">
        <x:v>1256064.4</x:v>
      </x:c>
      <x:c r="E4" s="7">
        <x:f>IFERROR(D4/B4,0)</x:f>
        <x:v>0.013331879536690908</x:v>
      </x:c>
      <x:c r="F4" s="7">
        <x:f>IFERROR(D4/C4,0)</x:f>
        <x:v>0.9068913639560501</x:v>
      </x:c>
      <x:c r="G4" s="6">
        <x:f>B4-D4</x:f>
        <x:v>92959038.32</x:v>
      </x:c>
      <x:c r="H4" s="6" t="n">
        <x:v>80000000</x:v>
      </x:c>
      <x:c r="I4" s="6">
        <x:f>G4-H4</x:f>
        <x:v>12959038.319999993</x:v>
      </x:c>
      <x:c r="J4" s="7">
        <x:f>IFERROR(I4/G4,0)</x:f>
        <x:v>0.1394058991379634</x:v>
      </x:c>
      <x:c r="K4" t="str">
        <x:f>IF(J4&gt;=PARAMS!$B$3,"ENQUADRADO","DESENQUADRADO")</x:f>
        <x:v>DESENQUADRADO</x:v>
      </x:c>
      <x:c r="L4" s="6" t="n">
        <x:v>572572.9300000001</x:v>
      </x:c>
      <x:c r="M4" s="7" t="n">
        <x:v>0.0111</x:v>
      </x:c>
      <x:c r="N4" s="7">
        <x:f>IFERROR(C4/B4,0)</x:f>
        <x:v>0.014700635673201757</x:v>
      </x:c>
    </x:row>
    <x:row r="5">
      <x:c r="A5" s="5" t="n">
        <x:v>45351</x:v>
      </x:c>
      <x:c r="B5" s="6" t="n">
        <x:v>94389128.23999999</x:v>
      </x:c>
      <x:c r="C5" s="6" t="n">
        <x:v>2590682.87</x:v>
      </x:c>
      <x:c r="D5" s="6" t="n">
        <x:v>2512237.81</x:v>
      </x:c>
      <x:c r="E5" s="7">
        <x:f>IFERROR(D5/B5,0)</x:f>
        <x:v>0.02661575392043265</x:v>
      </x:c>
      <x:c r="F5" s="7">
        <x:f>IFERROR(D5/C5,0)</x:f>
        <x:v>0.9697203154780577</x:v>
      </x:c>
      <x:c r="G5" s="6">
        <x:f>B5-D5</x:f>
        <x:v>91876890.42999999</x:v>
      </x:c>
      <x:c r="H5" s="6" t="n">
        <x:v>80000000</x:v>
      </x:c>
      <x:c r="I5" s="6">
        <x:f>G5-H5</x:f>
        <x:v>11876890.429999992</x:v>
      </x:c>
      <x:c r="J5" s="7">
        <x:f>IFERROR(I5/G5,0)</x:f>
        <x:v>0.1292696169234076</x:v>
      </x:c>
      <x:c r="K5" t="str">
        <x:f>IF(J5&gt;=PARAMS!$B$3,"ENQUADRADO","DESENQUADRADO")</x:f>
        <x:v>DESENQUADRADO</x:v>
      </x:c>
      <x:c r="L5" s="6" t="n">
        <x:v>-21524.47</x:v>
      </x:c>
      <x:c r="M5" s="7" t="n">
        <x:v>0.0168</x:v>
      </x:c>
      <x:c r="N5" s="7">
        <x:f>IFERROR(C5/B5,0)</x:f>
        <x:v>0.027446835438640346</x:v>
      </x:c>
    </x:row>
    <x:row r="6">
      <x:c r="A6" s="5" t="n">
        <x:v>45382</x:v>
      </x:c>
      <x:c r="B6" s="6" t="n">
        <x:v>94024532.58</x:v>
      </x:c>
      <x:c r="C6" s="6" t="n">
        <x:v>2659716.14</x:v>
      </x:c>
      <x:c r="D6" s="6" t="n">
        <x:v>3517179.26</x:v>
      </x:c>
      <x:c r="E6" s="7">
        <x:f>IFERROR(D6/B6,0)</x:f>
        <x:v>0.03740703796647366</x:v>
      </x:c>
      <x:c r="F6" s="7">
        <x:f>IFERROR(D6/C6,0)</x:f>
        <x:v>1.322388959898555</x:v>
      </x:c>
      <x:c r="G6" s="6">
        <x:f>B6-D6</x:f>
        <x:v>90507353.32</x:v>
      </x:c>
      <x:c r="H6" s="6" t="n">
        <x:v>80000000</x:v>
      </x:c>
      <x:c r="I6" s="6">
        <x:f>G6-H6</x:f>
        <x:v>10507353.319999993</x:v>
      </x:c>
      <x:c r="J6" s="7">
        <x:f>IFERROR(I6/G6,0)</x:f>
        <x:v>0.11609391872116666</x:v>
      </x:c>
      <x:c r="K6" t="str">
        <x:f>IF(J6&gt;=PARAMS!$B$3,"ENQUADRADO","DESENQUADRADO")</x:f>
        <x:v>DESENQUADRADO</x:v>
      </x:c>
      <x:c r="L6" s="6" t="n">
        <x:v>101904.7</x:v>
      </x:c>
      <x:c r="M6" s="7" t="n">
        <x:v>0.0132</x:v>
      </x:c>
      <x:c r="N6" s="7">
        <x:f>IFERROR(C6/B6,0)</x:f>
        <x:v>0.02828746995085567</x:v>
      </x:c>
    </x:row>
    <x:row r="7">
      <x:c r="A7" s="5" t="n">
        <x:v>45412</x:v>
      </x:c>
      <x:c r="B7" s="6" t="n">
        <x:v>93642151.94</x:v>
      </x:c>
      <x:c r="C7" s="6" t="n">
        <x:v>3929571.52</x:v>
      </x:c>
      <x:c r="D7" s="6" t="n">
        <x:v>2357742.91</x:v>
      </x:c>
      <x:c r="E7" s="7">
        <x:f>IFERROR(D7/B7,0)</x:f>
        <x:v>0.02517822221247856</x:v>
      </x:c>
      <x:c r="F7" s="7">
        <x:f>IFERROR(D7/C7,0)</x:f>
        <x:v>0.5999999994910387</x:v>
      </x:c>
      <x:c r="G7" s="6">
        <x:f>B7-D7</x:f>
        <x:v>91284409.03</x:v>
      </x:c>
      <x:c r="H7" s="6" t="n">
        <x:v>80000000</x:v>
      </x:c>
      <x:c r="I7" s="6">
        <x:f>G7-H7</x:f>
        <x:v>11284409.030000001</x:v>
      </x:c>
      <x:c r="J7" s="7">
        <x:f>IFERROR(I7/G7,0)</x:f>
        <x:v>0.1236181419139325</x:v>
      </x:c>
      <x:c r="K7" t="str">
        <x:f>IF(J7&gt;=PARAMS!$B$3,"ENQUADRADO","DESENQUADRADO")</x:f>
        <x:v>DESENQUADRADO</x:v>
      </x:c>
      <x:c r="L7" s="6" t="n">
        <x:v>-1134322.04</x:v>
      </x:c>
      <x:c r="M7" s="7" t="n">
        <x:v>0.0027</x:v>
      </x:c>
      <x:c r="N7" s="7">
        <x:f>IFERROR(C7/B7,0)</x:f>
        <x:v>0.04196370372306077</x:v>
      </x:c>
    </x:row>
    <x:row r="8">
      <x:c r="A8" s="5" t="n">
        <x:v>45443</x:v>
      </x:c>
      <x:c r="B8" s="6" t="n">
        <x:v>95346255.13</x:v>
      </x:c>
      <x:c r="C8" s="6" t="n">
        <x:v>3312038.25</x:v>
      </x:c>
      <x:c r="D8" s="6" t="n">
        <x:v>3138270.85</x:v>
      </x:c>
      <x:c r="E8" s="7">
        <x:f>IFERROR(D8/B8,0)</x:f>
        <x:v>0.03291446366426369</x:v>
      </x:c>
      <x:c r="F8" s="7">
        <x:f>IFERROR(D8/C8,0)</x:f>
        <x:v>0.947534603502843</x:v>
      </x:c>
      <x:c r="G8" s="6">
        <x:f>B8-D8</x:f>
        <x:v>92207984.28</x:v>
      </x:c>
      <x:c r="H8" s="6" t="n">
        <x:v>80000000</x:v>
      </x:c>
      <x:c r="I8" s="6">
        <x:f>G8-H8</x:f>
        <x:v>12207984.280000001</x:v>
      </x:c>
      <x:c r="J8" s="7">
        <x:f>IFERROR(I8/G8,0)</x:f>
        <x:v>0.13239617344772522</x:v>
      </x:c>
      <x:c r="K8" t="str">
        <x:f>IF(J8&gt;=PARAMS!$B$3,"ENQUADRADO","DESENQUADRADO")</x:f>
        <x:v>DESENQUADRADO</x:v>
      </x:c>
      <x:c r="L8" s="6" t="n">
        <x:v>-1281757.92</x:v>
      </x:c>
      <x:c r="M8" s="7" t="n">
        <x:v>0.0112</x:v>
      </x:c>
      <x:c r="N8" s="7">
        <x:f>IFERROR(C8/B8,0)</x:f>
        <x:v>0.034736951603229684</x:v>
      </x:c>
    </x:row>
    <x:row r="9">
      <x:c r="A9" s="5" t="n">
        <x:v>45473</x:v>
      </x:c>
      <x:c r="B9" s="6" t="n">
        <x:v>95645674.58</x:v>
      </x:c>
      <x:c r="C9" s="6" t="n">
        <x:v>2876730.45</x:v>
      </x:c>
      <x:c r="D9" s="6" t="n">
        <x:v>2018586.13</x:v>
      </x:c>
      <x:c r="E9" s="7">
        <x:f>IFERROR(D9/B9,0)</x:f>
        <x:v>0.0211048344722752</x:v>
      </x:c>
      <x:c r="F9" s="7">
        <x:f>IFERROR(D9/C9,0)</x:f>
        <x:v>0.7016945678730517</x:v>
      </x:c>
      <x:c r="G9" s="6">
        <x:f>B9-D9</x:f>
        <x:v>93627088.45</x:v>
      </x:c>
      <x:c r="H9" s="6" t="n">
        <x:v>80000000</x:v>
      </x:c>
      <x:c r="I9" s="6">
        <x:f>G9-H9</x:f>
        <x:v>13627088.450000003</x:v>
      </x:c>
      <x:c r="J9" s="7">
        <x:f>IFERROR(I9/G9,0)</x:f>
        <x:v>0.14554642973093546</x:v>
      </x:c>
      <x:c r="K9" t="str">
        <x:f>IF(J9&gt;=PARAMS!$B$3,"ENQUADRADO","DESENQUADRADO")</x:f>
        <x:v>DESENQUADRADO</x:v>
      </x:c>
      <x:c r="L9" s="6" t="n">
        <x:v>-1102757.73</x:v>
      </x:c>
      <x:c r="M9" s="7" t="n">
        <x:v>0.0103</x:v>
      </x:c>
      <x:c r="N9" s="7">
        <x:f>IFERROR(C9/B9,0)</x:f>
        <x:v>0.030076952905944993</x:v>
      </x:c>
    </x:row>
    <x:row r="10">
      <x:c r="A10" s="5" t="n">
        <x:v>45504</x:v>
      </x:c>
      <x:c r="B10" s="6" t="n">
        <x:v>96134434.3</x:v>
      </x:c>
      <x:c r="C10" s="6" t="n">
        <x:v>3403282.64</x:v>
      </x:c>
      <x:c r="D10" s="6" t="n">
        <x:v>3300105.24</x:v>
      </x:c>
      <x:c r="E10" s="7">
        <x:f>IFERROR(D10/B10,0)</x:f>
        <x:v>0.0343280247502325</x:v>
      </x:c>
      <x:c r="F10" s="7">
        <x:f>IFERROR(D10/C10,0)</x:f>
        <x:v>0.9696829764336</x:v>
      </x:c>
      <x:c r="G10" s="6">
        <x:f>B10-D10</x:f>
        <x:v>92834329.06</x:v>
      </x:c>
      <x:c r="H10" s="6" t="n">
        <x:v>80000000</x:v>
      </x:c>
      <x:c r="I10" s="6">
        <x:f>G10-H10</x:f>
        <x:v>12834329.060000002</x:v>
      </x:c>
      <x:c r="J10" s="7">
        <x:f>IFERROR(I10/G10,0)</x:f>
        <x:v>0.13824981760470326</x:v>
      </x:c>
      <x:c r="K10" t="str">
        <x:f>IF(J10&gt;=PARAMS!$B$3,"ENQUADRADO","DESENQUADRADO")</x:f>
        <x:v>DESENQUADRADO</x:v>
      </x:c>
      <x:c r="L10" s="6" t="n">
        <x:v>-1768736.96</x:v>
      </x:c>
      <x:c r="M10" s="7" t="n">
        <x:v>0.009300000000000001</x:v>
      </x:c>
      <x:c r="N10" s="7">
        <x:f>IFERROR(C10/B10,0)</x:f>
        <x:v>0.03540128638381138</x:v>
      </x:c>
    </x:row>
    <x:row r="11">
      <x:c r="A11" s="5" t="n">
        <x:v>45535</x:v>
      </x:c>
      <x:c r="B11" s="6" t="n">
        <x:v>95334081.54000001</x:v>
      </x:c>
      <x:c r="C11" s="6" t="n">
        <x:v>3337696.53</x:v>
      </x:c>
      <x:c r="D11" s="6" t="n">
        <x:v>3648136.08</x:v>
      </x:c>
      <x:c r="E11" s="7">
        <x:f>IFERROR(D11/B11,0)</x:f>
        <x:v>0.0382668613476842</x:v>
      </x:c>
      <x:c r="F11" s="7">
        <x:f>IFERROR(D11/C11,0)</x:f>
        <x:v>1.093010118568209</x:v>
      </x:c>
      <x:c r="G11" s="6">
        <x:f>B11-D11</x:f>
        <x:v>91685945.46000001</x:v>
      </x:c>
      <x:c r="H11" s="6" t="n">
        <x:v>80000000</x:v>
      </x:c>
      <x:c r="I11" s="6">
        <x:f>G11-H11</x:f>
        <x:v>11685945.460000008</x:v>
      </x:c>
      <x:c r="J11" s="7">
        <x:f>IFERROR(I11/G11,0)</x:f>
        <x:v>0.12745623553719318</x:v>
      </x:c>
      <x:c r="K11" t="str">
        <x:f>IF(J11&gt;=PARAMS!$B$3,"ENQUADRADO","DESENQUADRADO")</x:f>
        <x:v>DESENQUADRADO</x:v>
      </x:c>
      <x:c r="L11" s="6" t="n">
        <x:v>-675775.5</x:v>
      </x:c>
      <x:c r="M11" s="7" t="n">
        <x:v>0.0029</x:v>
      </x:c>
      <x:c r="N11" s="7">
        <x:f>IFERROR(C11/B11,0)</x:f>
        <x:v>0.035010527988351976</x:v>
      </x:c>
    </x:row>
    <x:row r="12">
      <x:c r="A12" s="5" t="n">
        <x:v>45565</x:v>
      </x:c>
      <x:c r="B12" s="6" t="n">
        <x:v>96471999.77</x:v>
      </x:c>
      <x:c r="C12" s="6" t="n">
        <x:v>3448897.58</x:v>
      </x:c>
      <x:c r="D12" s="6" t="n">
        <x:v>3009766.28</x:v>
      </x:c>
      <x:c r="E12" s="7">
        <x:f>IFERROR(D12/B12,0)</x:f>
        <x:v>0.03119834031818163</x:v>
      </x:c>
      <x:c r="F12" s="7">
        <x:f>IFERROR(D12/C12,0)</x:f>
        <x:v>0.8726748794900426</x:v>
      </x:c>
      <x:c r="G12" s="6">
        <x:f>B12-D12</x:f>
        <x:v>93462233.49</x:v>
      </x:c>
      <x:c r="H12" s="6" t="n">
        <x:v>80000000</x:v>
      </x:c>
      <x:c r="I12" s="6">
        <x:f>G12-H12</x:f>
        <x:v>13462233.489999995</x:v>
      </x:c>
      <x:c r="J12" s="7">
        <x:f>IFERROR(I12/G12,0)</x:f>
        <x:v>0.14403928717839157</x:v>
      </x:c>
      <x:c r="K12" t="str">
        <x:f>IF(J12&gt;=PARAMS!$B$3,"ENQUADRADO","DESENQUADRADO")</x:f>
        <x:v>DESENQUADRADO</x:v>
      </x:c>
      <x:c r="L12" s="6" t="n">
        <x:v>-3000316.14</x:v>
      </x:c>
      <x:c r="M12" s="7" t="n">
        <x:v>0.008699999999999999</x:v>
      </x:c>
      <x:c r="N12" s="7">
        <x:f>IFERROR(C12/B12,0)</x:f>
        <x:v>0.035750244508484914</x:v>
      </x:c>
    </x:row>
    <x:row r="13">
      <x:c r="A13" s="5" t="n">
        <x:v>45596</x:v>
      </x:c>
      <x:c r="B13" s="6" t="n">
        <x:v>97271885.95999999</x:v>
      </x:c>
      <x:c r="C13" s="6" t="n">
        <x:v>3735283.16</x:v>
      </x:c>
      <x:c r="D13" s="6" t="n">
        <x:v>3228883.83</x:v>
      </x:c>
      <x:c r="E13" s="7">
        <x:f>IFERROR(D13/B13,0)</x:f>
        <x:v>0.033194419930623914</x:v>
      </x:c>
      <x:c r="F13" s="7">
        <x:f>IFERROR(D13/C13,0)</x:f>
        <x:v>0.8644281281208143</x:v>
      </x:c>
      <x:c r="G13" s="6">
        <x:f>B13-D13</x:f>
        <x:v>94043002.13</x:v>
      </x:c>
      <x:c r="H13" s="6" t="n">
        <x:v>80000000</x:v>
      </x:c>
      <x:c r="I13" s="6">
        <x:f>G13-H13</x:f>
        <x:v>14043002.129999995</x:v>
      </x:c>
      <x:c r="J13" s="7">
        <x:f>IFERROR(I13/G13,0)</x:f>
        <x:v>0.1493253279025238</x:v>
      </x:c>
      <x:c r="K13" t="str">
        <x:f>IF(J13&gt;=PARAMS!$B$3,"ENQUADRADO","DESENQUADRADO")</x:f>
        <x:v>DESENQUADRADO</x:v>
      </x:c>
      <x:c r="L13" s="6" t="n">
        <x:v>-643030.77</x:v>
      </x:c>
      <x:c r="M13" s="7" t="n">
        <x:v>0.0063</x:v>
      </x:c>
      <x:c r="N13" s="7">
        <x:f>IFERROR(C13/B13,0)</x:f>
        <x:v>0.038400439378095515</x:v>
      </x:c>
    </x:row>
    <x:row r="14">
      <x:c r="A14" s="5" t="n">
        <x:v>45626</x:v>
      </x:c>
      <x:c r="B14" s="6" t="n">
        <x:v>98281492.09999999</x:v>
      </x:c>
      <x:c r="C14" s="6" t="n">
        <x:v>2155192.63</x:v>
      </x:c>
      <x:c r="D14" s="6" t="n">
        <x:v>2106538.34</x:v>
      </x:c>
      <x:c r="E14" s="7">
        <x:f>IFERROR(D14/B14,0)</x:f>
        <x:v>0.021433723633912962</x:v>
      </x:c>
      <x:c r="F14" s="7">
        <x:f>IFERROR(D14/C14,0)</x:f>
        <x:v>0.9774246212042772</x:v>
      </x:c>
      <x:c r="G14" s="6">
        <x:f>B14-D14</x:f>
        <x:v>96174953.75999999</x:v>
      </x:c>
      <x:c r="H14" s="6" t="n">
        <x:v>80000000</x:v>
      </x:c>
      <x:c r="I14" s="6">
        <x:f>G14-H14</x:f>
        <x:v>16174953.75999999</x:v>
      </x:c>
      <x:c r="J14" s="7">
        <x:f>IFERROR(I14/G14,0)</x:f>
        <x:v>0.16818259981038114</x:v>
      </x:c>
      <x:c r="K14" t="str">
        <x:f>IF(J14&gt;=PARAMS!$B$3,"ENQUADRADO","DESENQUADRADO")</x:f>
        <x:v>ENQUADRADO</x:v>
      </x:c>
      <x:c r="L14" s="6" t="n">
        <x:v>-925744.54</x:v>
      </x:c>
      <x:c r="M14" s="7" t="n">
        <x:v>0.0106</x:v>
      </x:c>
      <x:c r="N14" s="7">
        <x:f>IFERROR(C14/B14,0)</x:f>
        <x:v>0.021928774013800306</x:v>
      </x:c>
    </x:row>
    <x:row r="15">
      <x:c r="A15" s="5" t="n">
        <x:v>45657</x:v>
      </x:c>
      <x:c r="B15" s="6" t="n">
        <x:v>96950087.77</x:v>
      </x:c>
      <x:c r="C15" s="6" t="n">
        <x:v>2712845.34</x:v>
      </x:c>
      <x:c r="D15" s="6" t="n">
        <x:v>2443380.09</x:v>
      </x:c>
      <x:c r="E15" s="7">
        <x:f>IFERROR(D15/B15,0)</x:f>
        <x:v>0.025202453615065974</x:v>
      </x:c>
      <x:c r="F15" s="7">
        <x:f>IFERROR(D15/C15,0)</x:f>
        <x:v>0.9006706183994994</x:v>
      </x:c>
      <x:c r="G15" s="6">
        <x:f>B15-D15</x:f>
        <x:v>94506707.67999999</x:v>
      </x:c>
      <x:c r="H15" s="6" t="n">
        <x:v>80000000</x:v>
      </x:c>
      <x:c r="I15" s="6">
        <x:f>G15-H15</x:f>
        <x:v>14506707.679999992</x:v>
      </x:c>
      <x:c r="J15" s="7">
        <x:f>IFERROR(I15/G15,0)</x:f>
        <x:v>0.15349923869022875</x:v>
      </x:c>
      <x:c r="K15" t="str">
        <x:f>IF(J15&gt;=PARAMS!$B$3,"ENQUADRADO","DESENQUADRADO")</x:f>
        <x:v>ENQUADRADO</x:v>
      </x:c>
      <x:c r="L15" s="6" t="n">
        <x:v>-224038.31</x:v>
      </x:c>
      <x:c r="M15" s="7" t="n">
        <x:v>0.0122</x:v>
      </x:c>
      <x:c r="N15" s="7">
        <x:f>IFERROR(C15/B15,0)</x:f>
        <x:v>0.027981876060141703</x:v>
      </x:c>
    </x:row>
    <x:row r="16">
      <x:c r="A16" s="5" t="n">
        <x:v>45688</x:v>
      </x:c>
      <x:c r="B16" s="6" t="n">
        <x:v>98252916.12</x:v>
      </x:c>
      <x:c r="C16" s="6" t="n">
        <x:v>1172636.58</x:v>
      </x:c>
      <x:c r="D16" s="6" t="n">
        <x:v>1407997.66</x:v>
      </x:c>
      <x:c r="E16" s="7">
        <x:f>IFERROR(D16/B16,0)</x:f>
        <x:v>0.014330339654045067</x:v>
      </x:c>
      <x:c r="F16" s="7">
        <x:f>IFERROR(D16/C16,0)</x:f>
        <x:v>1.2007110165367687</x:v>
      </x:c>
      <x:c r="G16" s="6">
        <x:f>B16-D16</x:f>
        <x:v>96844918.46000001</x:v>
      </x:c>
      <x:c r="H16" s="6" t="n">
        <x:v>80000000</x:v>
      </x:c>
      <x:c r="I16" s="6">
        <x:f>G16-H16</x:f>
        <x:v>16844918.46000001</x:v>
      </x:c>
      <x:c r="J16" s="7">
        <x:f>IFERROR(I16/G16,0)</x:f>
        <x:v>0.17393704004157418</x:v>
      </x:c>
      <x:c r="K16" t="str">
        <x:f>IF(J16&gt;=PARAMS!$B$3,"ENQUADRADO","DESENQUADRADO")</x:f>
        <x:v>ENQUADRADO</x:v>
      </x:c>
      <x:c r="L16" s="6" t="n">
        <x:v>558156</x:v>
      </x:c>
      <x:c r="M16" s="7" t="n">
        <x:v>0.0072</x:v>
      </x:c>
      <x:c r="N16" s="7">
        <x:f>IFERROR(C16/B16,0)</x:f>
        <x:v>0.011934878131940782</x:v>
      </x:c>
    </x:row>
    <x:row r="17">
      <x:c r="A17" s="5" t="n">
        <x:v>45716</x:v>
      </x:c>
      <x:c r="B17" s="6" t="n">
        <x:v>99828892.41</x:v>
      </x:c>
      <x:c r="C17" s="6" t="n">
        <x:v>1947559.3</x:v>
      </x:c>
      <x:c r="D17" s="6" t="n">
        <x:v>2451368.28</x:v>
      </x:c>
      <x:c r="E17" s="7">
        <x:f>IFERROR(D17/B17,0)</x:f>
        <x:v>0.024555699465563168</x:v>
      </x:c>
      <x:c r="F17" s="7">
        <x:f>IFERROR(D17/C17,0)</x:f>
        <x:v>1.25868736320378</x:v>
      </x:c>
      <x:c r="G17" s="6">
        <x:f>B17-D17</x:f>
        <x:v>97377524.13</x:v>
      </x:c>
      <x:c r="H17" s="6" t="n">
        <x:v>80000000</x:v>
      </x:c>
      <x:c r="I17" s="6">
        <x:f>G17-H17</x:f>
        <x:v>17377524.129999995</x:v>
      </x:c>
      <x:c r="J17" s="7">
        <x:f>IFERROR(I17/G17,0)</x:f>
        <x:v>0.17845518547792222</x:v>
      </x:c>
      <x:c r="K17" t="str">
        <x:f>IF(J17&gt;=PARAMS!$B$3,"ENQUADRADO","DESENQUADRADO")</x:f>
        <x:v>ENQUADRADO</x:v>
      </x:c>
      <x:c r="L17" s="6" t="n">
        <x:v>-592789.62</x:v>
      </x:c>
      <x:c r="M17" s="7" t="n">
        <x:v>0.0038</x:v>
      </x:c>
      <x:c r="N17" s="7">
        <x:f>IFERROR(C17/B17,0)</x:f>
        <x:v>0.019508974335819742</x:v>
      </x:c>
    </x:row>
    <x:row r="18">
      <x:c r="A18" s="5" t="n">
        <x:v>45747</x:v>
      </x:c>
      <x:c r="B18" s="6" t="n">
        <x:v>101251111.83</x:v>
      </x:c>
      <x:c r="C18" s="6" t="n">
        <x:v>2807074.08</x:v>
      </x:c>
      <x:c r="D18" s="6" t="n">
        <x:v>3162890.51</x:v>
      </x:c>
      <x:c r="E18" s="7">
        <x:f>IFERROR(D18/B18,0)</x:f>
        <x:v>0.031238081763590643</x:v>
      </x:c>
      <x:c r="F18" s="7">
        <x:f>IFERROR(D18/C18,0)</x:f>
        <x:v>1.1267570501737523</x:v>
      </x:c>
      <x:c r="G18" s="6">
        <x:f>B18-D18</x:f>
        <x:v>98088221.32</x:v>
      </x:c>
      <x:c r="H18" s="6" t="n">
        <x:v>80000000</x:v>
      </x:c>
      <x:c r="I18" s="6">
        <x:f>G18-H18</x:f>
        <x:v>18088221.319999993</x:v>
      </x:c>
      <x:c r="J18" s="7">
        <x:f>IFERROR(I18/G18,0)</x:f>
        <x:v>0.18440767990877863</x:v>
      </x:c>
      <x:c r="K18" t="str">
        <x:f>IF(J18&gt;=PARAMS!$B$3,"ENQUADRADO","DESENQUADRADO")</x:f>
        <x:v>ENQUADRADO</x:v>
      </x:c>
      <x:c r="L18" s="6" t="n">
        <x:v>891184.76</x:v>
      </x:c>
      <x:c r="M18" s="7" t="n">
        <x:v>0.0062</x:v>
      </x:c>
      <x:c r="N18" s="7">
        <x:f>IFERROR(C18/B18,0)</x:f>
        <x:v>0.02772388400744735</x:v>
      </x:c>
    </x:row>
    <x:row r="19">
      <x:c r="A19" s="5" t="n">
        <x:v>45777</x:v>
      </x:c>
      <x:c r="B19" s="6" t="n">
        <x:v>100111867.12</x:v>
      </x:c>
      <x:c r="C19" s="6" t="n">
        <x:v>1008203.18</x:v>
      </x:c>
      <x:c r="D19" s="6" t="n">
        <x:v>1310728.41</x:v>
      </x:c>
      <x:c r="E19" s="7">
        <x:f>IFERROR(D19/B19,0)</x:f>
        <x:v>0.01309263774322462</x:v>
      </x:c>
      <x:c r="F19" s="7">
        <x:f>IFERROR(D19/C19,0)</x:f>
        <x:v>1.300063753022481</x:v>
      </x:c>
      <x:c r="G19" s="6">
        <x:f>B19-D19</x:f>
        <x:v>98801138.71000001</x:v>
      </x:c>
      <x:c r="H19" s="6" t="n">
        <x:v>80000000</x:v>
      </x:c>
      <x:c r="I19" s="6">
        <x:f>G19-H19</x:f>
        <x:v>18801138.71000001</x:v>
      </x:c>
      <x:c r="J19" s="7">
        <x:f>IFERROR(I19/G19,0)</x:f>
        <x:v>0.19029273301378538</x:v>
      </x:c>
      <x:c r="K19" t="str">
        <x:f>IF(J19&gt;=PARAMS!$B$3,"ENQUADRADO","DESENQUADRADO")</x:f>
        <x:v>ENQUADRADO</x:v>
      </x:c>
      <x:c r="L19" s="6" t="n">
        <x:v>-1860458.86</x:v>
      </x:c>
      <x:c r="M19" s="7" t="n">
        <x:v>0.006</x:v>
      </x:c>
      <x:c r="N19" s="7">
        <x:f>IFERROR(C19/B19,0)</x:f>
        <x:v>0.010070765924198657</x:v>
      </x:c>
    </x:row>
    <x:row r="20">
      <x:c r="A20" s="5" t="n">
        <x:v>45808</x:v>
      </x:c>
      <x:c r="B20" s="6" t="n">
        <x:v>98395408.87</x:v>
      </x:c>
      <x:c r="C20" s="6" t="n">
        <x:v>983954.09</x:v>
      </x:c>
      <x:c r="D20" s="6" t="n">
        <x:v>1155997.37</x:v>
      </x:c>
      <x:c r="E20" s="7">
        <x:f>IFERROR(D20/B20,0)</x:f>
        <x:v>0.011748488910974532</x:v>
      </x:c>
      <x:c r="F20" s="7">
        <x:f>IFERROR(D20/C20,0)</x:f>
        <x:v>1.1748488895452431</x:v>
      </x:c>
      <x:c r="G20" s="6">
        <x:f>B20-D20</x:f>
        <x:v>97239411.5</x:v>
      </x:c>
      <x:c r="H20" s="6" t="n">
        <x:v>80000000</x:v>
      </x:c>
      <x:c r="I20" s="6">
        <x:f>G20-H20</x:f>
        <x:v>17239411.5</x:v>
      </x:c>
      <x:c r="J20" s="7">
        <x:f>IFERROR(I20/G20,0)</x:f>
        <x:v>0.17728831585945992</x:v>
      </x:c>
      <x:c r="K20" t="str">
        <x:f>IF(J20&gt;=PARAMS!$B$3,"ENQUADRADO","DESENQUADRADO")</x:f>
        <x:v>ENQUADRADO</x:v>
      </x:c>
      <x:c r="L20" s="6" t="n">
        <x:v>-1242732.04</x:v>
      </x:c>
      <x:c r="M20" s="7" t="n">
        <x:v>0.006500000000000001</x:v>
      </x:c>
      <x:c r="N20" s="7">
        <x:f>IFERROR(C20/B20,0)</x:f>
        <x:v>0.010000000013211998</x:v>
      </x:c>
    </x:row>
    <x:row r="21">
      <x:c r="A21" s="5" t="n">
        <x:v>45838</x:v>
      </x:c>
      <x:c r="B21" s="6" t="n">
        <x:v>99896673.79000001</x:v>
      </x:c>
      <x:c r="C21" s="6" t="n">
        <x:v>998966.74</x:v>
      </x:c>
      <x:c r="D21" s="6" t="n">
        <x:v>751373.42</x:v>
      </x:c>
      <x:c r="E21" s="7">
        <x:f>IFERROR(D21/B21,0)</x:f>
        <x:v>0.007521505886967931</x:v>
      </x:c>
      <x:c r="F21" s="7">
        <x:f>IFERROR(D21/C21,0)</x:f>
        <x:v>0.7521505871156432</x:v>
      </x:c>
      <x:c r="G21" s="6">
        <x:f>B21-D21</x:f>
        <x:v>99145300.37</x:v>
      </x:c>
      <x:c r="H21" s="6" t="n">
        <x:v>80000000</x:v>
      </x:c>
      <x:c r="I21" s="6">
        <x:f>G21-H21</x:f>
        <x:v>19145300.370000005</x:v>
      </x:c>
      <x:c r="J21" s="7">
        <x:f>IFERROR(I21/G21,0)</x:f>
        <x:v>0.1931034582431212</x:v>
      </x:c>
      <x:c r="K21" t="str">
        <x:f>IF(J21&gt;=PARAMS!$B$3,"ENQUADRADO","DESENQUADRADO")</x:f>
        <x:v>ENQUADRADO</x:v>
      </x:c>
      <x:c r="L21" s="6" t="n">
        <x:v>-1316260.64</x:v>
      </x:c>
      <x:c r="M21" s="7" t="n">
        <x:v>-0.0031</x:v>
      </x:c>
      <x:c r="N21" s="7">
        <x:f>IFERROR(C21/B21,0)</x:f>
        <x:v>0.010000000021021721</x:v>
      </x:c>
    </x:row>
    <x:row r="22">
      <x:c r="A22" s="5" t="n">
        <x:v>45869</x:v>
      </x:c>
      <x:c r="B22" s="6" t="n">
        <x:v>100868962.8</x:v>
      </x:c>
      <x:c r="C22" s="6" t="n">
        <x:v>1008689.63</x:v>
      </x:c>
      <x:c r="D22" s="6" t="n">
        <x:v>1220651.75</x:v>
      </x:c>
      <x:c r="E22" s="7">
        <x:f>IFERROR(D22/B22,0)</x:f>
        <x:v>0.012101361173112014</x:v>
      </x:c>
      <x:c r="F22" s="7">
        <x:f>IFERROR(D22/C22,0)</x:f>
        <x:v>1.210136114911779</x:v>
      </x:c>
      <x:c r="G22" s="6">
        <x:f>B22-D22</x:f>
        <x:v>99648311.05</x:v>
      </x:c>
      <x:c r="H22" s="6" t="n">
        <x:v>80000000</x:v>
      </x:c>
      <x:c r="I22" s="6">
        <x:f>G22-H22</x:f>
        <x:v>19648311.049999997</x:v>
      </x:c>
      <x:c r="J22" s="7">
        <x:f>IFERROR(I22/G22,0)</x:f>
        <x:v>0.19717655866882852</x:v>
      </x:c>
      <x:c r="K22" t="str">
        <x:f>IF(J22&gt;=PARAMS!$B$3,"ENQUADRADO","DESENQUADRADO")</x:f>
        <x:v>ENQUADRADO</x:v>
      </x:c>
      <x:c r="L22" s="6" t="n">
        <x:v>867028.9399999999</x:v>
      </x:c>
      <x:c r="M22" s="7" t="n">
        <x:v>0.005</x:v>
      </x:c>
      <x:c r="N22" s="7">
        <x:f>IFERROR(C22/B22,0)</x:f>
        <x:v>0.010000000019827706</x:v>
      </x:c>
    </x:row>
    <x:row r="23">
      <x:c r="A23" s="5" t="n">
        <x:v>45900</x:v>
      </x:c>
      <x:c r="B23" s="6" t="n">
        <x:v>100538159.16</x:v>
      </x:c>
      <x:c r="C23" s="6" t="n">
        <x:v>1005381.59</x:v>
      </x:c>
      <x:c r="D23" s="6" t="n">
        <x:v>1035427.96</x:v>
      </x:c>
      <x:c r="E23" s="7">
        <x:f>IFERROR(D23/B23,0)</x:f>
        <x:v>0.010298855366470188</x:v>
      </x:c>
      <x:c r="F23" s="7">
        <x:f>IFERROR(D23/C23,0)</x:f>
        <x:v>1.0298855382860153</x:v>
      </x:c>
      <x:c r="G23" s="6">
        <x:f>B23-D23</x:f>
        <x:v>99502731.2</x:v>
      </x:c>
      <x:c r="H23" s="6" t="n">
        <x:v>80000000</x:v>
      </x:c>
      <x:c r="I23" s="6">
        <x:f>G23-H23</x:f>
        <x:v>19502731.200000003</x:v>
      </x:c>
      <x:c r="J23" s="7">
        <x:f>IFERROR(I23/G23,0)</x:f>
        <x:v>0.1960019686374197</x:v>
      </x:c>
      <x:c r="K23" t="str">
        <x:f>IF(J23&gt;=PARAMS!$B$3,"ENQUADRADO","DESENQUADRADO")</x:f>
        <x:v>ENQUADRADO</x:v>
      </x:c>
      <x:c r="L23" s="6" t="n">
        <x:v>267829.48</x:v>
      </x:c>
      <x:c r="M23" s="7" t="n">
        <x:v>-0.0009</x:v>
      </x:c>
      <x:c r="N23" s="7">
        <x:f>IFERROR(C23/B23,0)</x:f>
        <x:v>0.009999999984085645</x:v>
      </x:c>
    </x:row>
    <x:row r="24">
      <x:c r="A24" s="5" t="n">
        <x:v>45930</x:v>
      </x:c>
      <x:c r="B24" s="6" t="n">
        <x:v>101641778.7</x:v>
      </x:c>
      <x:c r="C24" s="6" t="n">
        <x:v>1016417.79</x:v>
      </x:c>
      <x:c r="D24" s="6" t="n">
        <x:v>609850.67</x:v>
      </x:c>
      <x:c r="E24" s="7">
        <x:f>IFERROR(D24/B24,0)</x:f>
        <x:v>0.0059999999783553574</x:v>
      </x:c>
      <x:c r="F24" s="7">
        <x:f>IFERROR(D24/C24,0)</x:f>
        <x:v>0.5999999960646104</x:v>
      </x:c>
      <x:c r="G24" s="6">
        <x:f>B24-D24</x:f>
        <x:v>101031928.03</x:v>
      </x:c>
      <x:c r="H24" s="6" t="n">
        <x:v>80000000</x:v>
      </x:c>
      <x:c r="I24" s="6">
        <x:f>G24-H24</x:f>
        <x:v>21031928.03</x:v>
      </x:c>
      <x:c r="J24" s="7">
        <x:f>IFERROR(I24/G24,0)</x:f>
        <x:v>0.2081711043241189</x:v>
      </x:c>
      <x:c r="K24" t="str">
        <x:f>IF(J24&gt;=PARAMS!$B$3,"ENQUADRADO","DESENQUADRADO")</x:f>
        <x:v>ENQUADRADO</x:v>
      </x:c>
      <x:c r="L24" s="6" t="n">
        <x:v>-616925.25</x:v>
      </x:c>
      <x:c r="M24" s="7" t="n">
        <x:v>0.0115</x:v>
      </x:c>
      <x:c r="N24" s="7">
        <x:f>IFERROR(C24/B24,0)</x:f>
        <x:v>0.010000000029515422</x:v>
      </x:c>
    </x:row>
    <x:row r="25">
      <x:c r="A25" s="5" t="n">
        <x:v>45961</x:v>
      </x:c>
      <x:c r="B25" s="6" t="n">
        <x:v>103976618.43</x:v>
      </x:c>
      <x:c r="C25" s="6" t="n">
        <x:v>1039766.18</x:v>
      </x:c>
      <x:c r="D25" s="6" t="n">
        <x:v>763233.79</x:v>
      </x:c>
      <x:c r="E25" s="7">
        <x:f>IFERROR(D25/B25,0)</x:f>
        <x:v>0.007340436739764052</x:v>
      </x:c>
      <x:c r="F25" s="7">
        <x:f>IFERROR(D25/C25,0)</x:f>
        <x:v>0.734043677012076</x:v>
      </x:c>
      <x:c r="G25" s="6">
        <x:f>B25-D25</x:f>
        <x:v>103213384.64</x:v>
      </x:c>
      <x:c r="H25" s="6" t="n">
        <x:v>80000000</x:v>
      </x:c>
      <x:c r="I25" s="6">
        <x:f>G25-H25</x:f>
        <x:v>23213384.64</x:v>
      </x:c>
      <x:c r="J25" s="7">
        <x:f>IFERROR(I25/G25,0)</x:f>
        <x:v>0.2249067281435099</x:v>
      </x:c>
      <x:c r="K25" t="str">
        <x:f>IF(J25&gt;=PARAMS!$B$3,"ENQUADRADO","DESENQUADRADO")</x:f>
        <x:v>ENQUADRADO</x:v>
      </x:c>
      <x:c r="L25" s="6" t="n">
        <x:v>2123473.61</x:v>
      </x:c>
      <x:c r="M25" s="7" t="n">
        <x:v>0.01</x:v>
      </x:c>
      <x:c r="N25" s="7">
        <x:f>IFERROR(C25/B25,0)</x:f>
        <x:v>0.009999999958644548</x:v>
      </x:c>
    </x:row>
    <x:row r="26">
      <x:c r="A26" s="5" t="n">
        <x:v>45991</x:v>
      </x:c>
      <x:c r="B26" s="6" t="n">
        <x:v>103913013.19</x:v>
      </x:c>
      <x:c r="C26" s="6" t="n">
        <x:v>1039130.13</x:v>
      </x:c>
      <x:c r="D26" s="6" t="n">
        <x:v>830477.38</x:v>
      </x:c>
      <x:c r="E26" s="7">
        <x:f>IFERROR(D26/B26,0)</x:f>
        <x:v>0.0079920440617145</x:v>
      </x:c>
      <x:c r="F26" s="7">
        <x:f>IFERROR(D26/C26,0)</x:f>
        <x:v>0.7992044076327572</x:v>
      </x:c>
      <x:c r="G26" s="6">
        <x:f>B26-D26</x:f>
        <x:v>103082535.81</x:v>
      </x:c>
      <x:c r="H26" s="6" t="n">
        <x:v>80000000</x:v>
      </x:c>
      <x:c r="I26" s="6">
        <x:f>G26-H26</x:f>
        <x:v>23082535.810000002</x:v>
      </x:c>
      <x:c r="J26" s="7">
        <x:f>IFERROR(I26/G26,0)</x:f>
        <x:v>0.22392285588070268</x:v>
      </x:c>
      <x:c r="K26" t="str">
        <x:f>IF(J26&gt;=PARAMS!$B$3,"ENQUADRADO","DESENQUADRADO")</x:f>
        <x:v>ENQUADRADO</x:v>
      </x:c>
      <x:c r="L26" s="6" t="n">
        <x:v>1478672.68</x:v>
      </x:c>
      <x:c r="M26" s="7" t="n">
        <x:v>0.0074</x:v>
      </x:c>
      <x:c r="N26" s="7">
        <x:f>IFERROR(C26/B26,0)</x:f>
        <x:v>0.009999999981715475</x:v>
      </x:c>
    </x:row>
    <x:row r="27">
      <x:c r="A27" s="5" t="n">
        <x:v>46022</x:v>
      </x:c>
      <x:c r="B27" s="6" t="n">
        <x:v>103561985.89</x:v>
      </x:c>
      <x:c r="C27" s="6" t="n">
        <x:v>1035619.86</x:v>
      </x:c>
      <x:c r="D27" s="6" t="n">
        <x:v>1360362.45</x:v>
      </x:c>
      <x:c r="E27" s="7">
        <x:f>IFERROR(D27/B27,0)</x:f>
        <x:v>0.01313573159407092</x:v>
      </x:c>
      <x:c r="F27" s="7">
        <x:f>IFERROR(D27/C27,0)</x:f>
        <x:v>1.3135731580118597</x:v>
      </x:c>
      <x:c r="G27" s="6">
        <x:f>B27-D27</x:f>
        <x:v>102201623.44</x:v>
      </x:c>
      <x:c r="H27" s="6" t="n">
        <x:v>80000000</x:v>
      </x:c>
      <x:c r="I27" s="6">
        <x:f>G27-H27</x:f>
        <x:v>22201623.439999998</x:v>
      </x:c>
      <x:c r="J27" s="7">
        <x:f>IFERROR(I27/G27,0)</x:f>
        <x:v>0.21723356922049297</x:v>
      </x:c>
      <x:c r="K27" t="str">
        <x:f>IF(J27&gt;=PARAMS!$B$3,"ENQUADRADO","DESENQUADRADO")</x:f>
        <x:v>ENQUADRADO</x:v>
      </x:c>
      <x:c r="L27" s="6" t="n">
        <x:v>-589413.6800000001</x:v>
      </x:c>
      <x:c r="M27" s="7" t="n">
        <x:v>0.0128</x:v>
      </x:c>
      <x:c r="N27" s="7">
        <x:f>IFERROR(C27/B27,0)</x:f>
        <x:v>0.010000000010621658</x:v>
      </x:c>
    </x:row>
    <x:row r="28">
      <x:c r="A28" s="5" t="n">
        <x:v>46053</x:v>
      </x:c>
      <x:c r="B28" s="6" t="n">
        <x:v>104044731.7</x:v>
      </x:c>
      <x:c r="C28" s="6" t="n">
        <x:v>1794185.09</x:v>
      </x:c>
      <x:c r="D28" s="6" t="n">
        <x:v>1479394.86</x:v>
      </x:c>
      <x:c r="E28" s="7">
        <x:f>IFERROR(D28/B28,0)</x:f>
        <x:v>0.014218834878306483</x:v>
      </x:c>
      <x:c r="F28" s="7">
        <x:f>IFERROR(D28/C28,0)</x:f>
        <x:v>0.8245497458681925</x:v>
      </x:c>
      <x:c r="G28" s="6">
        <x:f>B28-D28</x:f>
        <x:v>102565336.84</x:v>
      </x:c>
      <x:c r="H28" s="6" t="n">
        <x:v>80000000</x:v>
      </x:c>
      <x:c r="I28" s="6">
        <x:f>G28-H28</x:f>
        <x:v>22565336.840000004</x:v>
      </x:c>
      <x:c r="J28" s="7">
        <x:f>IFERROR(I28/G28,0)</x:f>
        <x:v>0.22000938655524044</x:v>
      </x:c>
      <x:c r="K28" t="str">
        <x:f>IF(J28&gt;=PARAMS!$B$3,"ENQUADRADO","DESENQUADRADO")</x:f>
        <x:v>ENQUADRADO</x:v>
      </x:c>
      <x:c r="L28" s="6" t="n">
        <x:v>658554.24</x:v>
      </x:c>
      <x:c r="M28" s="7" t="n">
        <x:v>0.0187</x:v>
      </x:c>
      <x:c r="N28" s="7">
        <x:f>IFERROR(C28/B28,0)</x:f>
        <x:v>0.017244362695588555</x:v>
      </x:c>
    </x:row>
  </x:sheetData>
  <x:pageMargins left="0.7" right="0.7" top="0.75" bottom="0.75" header="0.3" footer="0.3"/>
  <x:tableParts count="1">
    <x:tablePart xmlns:r="http://schemas.openxmlformats.org/officeDocument/2006/relationships" r:id="Rdb06befe3d1045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8" t="inlineStr">
        <x:is>
          <x:t xml:space="preserve">Dashboard — PDD x Inadimplência x Subordinação (exemplo)</x:t>
        </x:is>
      </x:c>
    </x:row>
    <x:row r="3">
      <x:c r="A3" s="9" t="inlineStr">
        <x:is>
          <x:t xml:space="preserve">Último mês</x:t>
        </x:is>
      </x:c>
    </x:row>
    <x:row r="4">
      <x:c r="A4" s="10" t="inlineStr">
        <x:is>
          <x:t xml:space="preserve">Carteira (R$)</x:t>
        </x:is>
      </x:c>
      <x:c r="B4" s="11">
        <x:f>SERIES_MENSAL!B28</x:f>
        <x:v>104044731.7</x:v>
      </x:c>
    </x:row>
    <x:row r="5">
      <x:c r="A5" s="10" t="inlineStr">
        <x:is>
          <x:t xml:space="preserve">PDD%</x:t>
        </x:is>
      </x:c>
      <x:c r="B5" s="12">
        <x:f>SERIES_MENSAL!E28</x:f>
        <x:v>0.014218834878306483</x:v>
      </x:c>
    </x:row>
    <x:row r="6">
      <x:c r="A6" s="10" t="inlineStr">
        <x:is>
          <x:t xml:space="preserve">Coverage</x:t>
        </x:is>
      </x:c>
      <x:c r="B6" s="12">
        <x:f>SERIES_MENSAL!F28</x:f>
        <x:v>0.8245497458681925</x:v>
      </x:c>
    </x:row>
    <x:row r="7">
      <x:c r="A7" s="10" t="inlineStr">
        <x:is>
          <x:t xml:space="preserve">Subord%</x:t>
        </x:is>
      </x:c>
      <x:c r="B7" s="12">
        <x:f>SERIES_MENSAL!J28</x:f>
        <x:v>0.22000938655524044</x:v>
      </x:c>
    </x:row>
    <x:row r="8">
      <x:c r="A8" s="10" t="inlineStr">
        <x:is>
          <x:t xml:space="preserve">Status</x:t>
        </x:is>
      </x:c>
      <x:c r="B8" s="13" t="str">
        <x:f>SERIES_MENSAL!K28</x:f>
        <x:v>ENQUADRADO</x:v>
      </x:c>
    </x:row>
  </x:sheetData>
  <x:pageMargins left="0.7" right="0.7" top="0.75" bottom="0.75" header="0.3" footer="0.3"/>
  <x:drawing xmlns:r="http://schemas.openxmlformats.org/officeDocument/2006/relationships" r:id="Re75df618323d420d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customWidth="1"/>
    <x:col min="2" max="2" width="70" customWidth="1"/>
    <x:col min="3" max="3" width="90" customWidth="1"/>
  </x:cols>
  <x:sheetData>
    <x:row r="1">
      <x:c r="A1" s="1" t="inlineStr">
        <x:is>
          <x:t xml:space="preserve">Macro — referências públicas (para contexto, não alimenta o cálculo)</x:t>
        </x:is>
      </x:c>
    </x:row>
    <x:row r="3">
      <x:c r="A3" s="4" t="inlineStr">
        <x:is>
          <x:t xml:space="preserve">Fonte</x:t>
        </x:is>
      </x:c>
      <x:c r="B3" s="4" t="inlineStr">
        <x:is>
          <x:t xml:space="preserve">Dado (texto)</x:t>
        </x:is>
      </x:c>
      <x:c r="C3" s="4" t="inlineStr">
        <x:is>
          <x:t xml:space="preserve">URL</x:t>
        </x:is>
      </x:c>
    </x:row>
    <x:row r="4">
      <x:c r="A4" t="inlineStr">
        <x:is>
          <x:t xml:space="preserve">Serasa Experian (release, publicado em 29/01/2026)</x:t>
        </x:is>
      </x:c>
      <x:c r="B4" t="inlineStr">
        <x:is>
          <x:t xml:space="preserve">Inadimplência recorde: 8,9 milhões de empresas em nov/2025; R$ 210 bilhões em dívidas (conforme release).</x:t>
        </x:is>
      </x:c>
      <x:c r="C4" s="14" t="inlineStr">
        <x:is>
          <x:t xml:space="preserve">https://www.serasaexperian.com.br/sala-de-imprensa/indicadores/novo-recorde-inadimplencia-alcanca-89-milhoes-de-empresas-brasileiras-em-novembro-com-rdollar-210-bilhoes-em-dividas-aponta-serasa-experian/</x:t>
        </x:is>
      </x:c>
    </x:row>
    <x:row r="5">
      <x:c r="A5" t="inlineStr">
        <x:is>
          <x:t xml:space="preserve">BCB Dados Abertos (SGS 26203)</x:t>
        </x:is>
      </x:c>
      <x:c r="B5" t="inlineStr">
        <x:is>
          <x:t xml:space="preserve">Dataset de taxa de inadimplência PJ (pequeno porte), trimestral, unidade %. (Use para comparar tendência macro).</x:t>
        </x:is>
      </x:c>
      <x:c r="C5" s="14" t="inlineStr">
        <x:is>
          <x:t xml:space="preserve">https://dadosabertos.bcb.gov.br/dataset/26203-taxa-de-inadimplencia-de-pessoa-juridica---pequeno-porte</x:t>
        </x:is>
      </x:c>
    </x:row>
    <x:row r="6">
      <x:c r="A6" t="inlineStr">
        <x:is>
          <x:t xml:space="preserve">FIDCs.com.br (indicadores)</x:t>
        </x:is>
      </x:c>
      <x:c r="B6" t="inlineStr">
        <x:is>
          <x:t xml:space="preserve">Definições de PDD% e Coverage Ratio para análise comparativa de fundos.</x:t>
        </x:is>
      </x:c>
      <x:c r="C6" s="14" t="inlineStr">
        <x:is>
          <x:t xml:space="preserve">https://fidcs.com.br/indicadores-fidc/pdd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99f2921b815407d"/>
  </x:tableParts>
</x:worksheet>
</file>